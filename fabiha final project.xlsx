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ASNI\Documents\"/>
    </mc:Choice>
  </mc:AlternateContent>
  <xr:revisionPtr revIDLastSave="0" documentId="13_ncr:1_{29228238-9071-408D-9CEE-DB38362C860D}" xr6:coauthVersionLast="47" xr6:coauthVersionMax="47" xr10:uidLastSave="{00000000-0000-0000-0000-000000000000}"/>
  <bookViews>
    <workbookView xWindow="-110" yWindow="-110" windowWidth="19420" windowHeight="10420" xr2:uid="{6328E168-DA93-4C41-AABE-1507838E0F96}"/>
  </bookViews>
  <sheets>
    <sheet name="Sheet1" sheetId="1" r:id="rId1"/>
    <sheet name="Sheet2" sheetId="2" r:id="rId2"/>
  </sheets>
  <definedNames>
    <definedName name="_xlnm._FilterDatabase" localSheetId="0" hidden="1">Sheet1!$A$3:$P$3</definedName>
  </definedNames>
  <calcPr calcId="191029"/>
  <pivotCaches>
    <pivotCache cacheId="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9" i="1" l="1"/>
  <c r="G25" i="1"/>
  <c r="G24" i="1"/>
  <c r="G23" i="1"/>
  <c r="G22" i="1"/>
  <c r="G21" i="1"/>
  <c r="C21" i="1"/>
  <c r="C20" i="1"/>
  <c r="N11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4" i="1"/>
  <c r="K5" i="1"/>
  <c r="K6" i="1"/>
  <c r="C23" i="1" s="1"/>
  <c r="K7" i="1"/>
  <c r="K8" i="1"/>
  <c r="K9" i="1"/>
  <c r="K10" i="1"/>
  <c r="K11" i="1"/>
  <c r="K12" i="1"/>
  <c r="K13" i="1"/>
  <c r="K14" i="1"/>
  <c r="K15" i="1"/>
  <c r="K16" i="1"/>
  <c r="K17" i="1"/>
  <c r="K4" i="1"/>
  <c r="H5" i="1"/>
  <c r="H6" i="1"/>
  <c r="H7" i="1"/>
  <c r="L7" i="1" s="1"/>
  <c r="H8" i="1"/>
  <c r="H9" i="1"/>
  <c r="H10" i="1"/>
  <c r="H11" i="1"/>
  <c r="H12" i="1"/>
  <c r="H13" i="1"/>
  <c r="H14" i="1"/>
  <c r="H15" i="1"/>
  <c r="H16" i="1"/>
  <c r="H17" i="1"/>
  <c r="H4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4" i="1"/>
  <c r="C22" i="1" s="1"/>
  <c r="F5" i="1"/>
  <c r="F6" i="1"/>
  <c r="F7" i="1"/>
  <c r="F8" i="1"/>
  <c r="F9" i="1"/>
  <c r="F10" i="1"/>
  <c r="F11" i="1"/>
  <c r="L11" i="1" s="1"/>
  <c r="O11" i="1" s="1"/>
  <c r="P11" i="1" s="1"/>
  <c r="F12" i="1"/>
  <c r="L12" i="1" s="1"/>
  <c r="N12" i="1" s="1"/>
  <c r="F13" i="1"/>
  <c r="F14" i="1"/>
  <c r="F15" i="1"/>
  <c r="F16" i="1"/>
  <c r="F17" i="1"/>
  <c r="F4" i="1"/>
  <c r="N7" i="1" l="1"/>
  <c r="O7" i="1" s="1"/>
  <c r="P7" i="1" s="1"/>
  <c r="L4" i="1"/>
  <c r="L17" i="1"/>
  <c r="L16" i="1"/>
  <c r="L8" i="1"/>
  <c r="L15" i="1"/>
  <c r="O12" i="1"/>
  <c r="P12" i="1" s="1"/>
  <c r="L9" i="1"/>
  <c r="L14" i="1"/>
  <c r="L6" i="1"/>
  <c r="L10" i="1"/>
  <c r="L13" i="1"/>
  <c r="L5" i="1"/>
  <c r="N15" i="1" l="1"/>
  <c r="O15" i="1" s="1"/>
  <c r="P15" i="1" s="1"/>
  <c r="N13" i="1"/>
  <c r="O13" i="1"/>
  <c r="P13" i="1" s="1"/>
  <c r="N17" i="1"/>
  <c r="O17" i="1"/>
  <c r="P17" i="1" s="1"/>
  <c r="N5" i="1"/>
  <c r="O5" i="1"/>
  <c r="P5" i="1" s="1"/>
  <c r="N10" i="1"/>
  <c r="O10" i="1"/>
  <c r="P10" i="1" s="1"/>
  <c r="N6" i="1"/>
  <c r="O6" i="1"/>
  <c r="P6" i="1" s="1"/>
  <c r="C24" i="1"/>
  <c r="N4" i="1"/>
  <c r="O4" i="1"/>
  <c r="N9" i="1"/>
  <c r="O9" i="1" s="1"/>
  <c r="P9" i="1" s="1"/>
  <c r="O8" i="1"/>
  <c r="P8" i="1" s="1"/>
  <c r="N8" i="1"/>
  <c r="N16" i="1"/>
  <c r="O16" i="1" s="1"/>
  <c r="P16" i="1" s="1"/>
  <c r="N14" i="1"/>
  <c r="O14" i="1"/>
  <c r="P14" i="1" s="1"/>
  <c r="P4" i="1" l="1"/>
  <c r="C28" i="1"/>
  <c r="C27" i="1"/>
  <c r="C26" i="1"/>
  <c r="C25" i="1"/>
</calcChain>
</file>

<file path=xl/sharedStrings.xml><?xml version="1.0" encoding="utf-8"?>
<sst xmlns="http://schemas.openxmlformats.org/spreadsheetml/2006/main" count="112" uniqueCount="67">
  <si>
    <t>EMPLOYEE SALARY SHEET OF SEPTEMBER</t>
  </si>
  <si>
    <t xml:space="preserve"> EMPLOYEE</t>
  </si>
  <si>
    <t>SALARY</t>
  </si>
  <si>
    <t>ALLOWANCE</t>
  </si>
  <si>
    <t>GROSS</t>
  </si>
  <si>
    <t>DEDUCTION</t>
  </si>
  <si>
    <t>Emp-Name</t>
  </si>
  <si>
    <t>Emp- ID</t>
  </si>
  <si>
    <t>Designation</t>
  </si>
  <si>
    <t>Basic Salary</t>
  </si>
  <si>
    <t>Attendance</t>
  </si>
  <si>
    <t>Salary</t>
  </si>
  <si>
    <t>H.R.A</t>
  </si>
  <si>
    <t>D.A</t>
  </si>
  <si>
    <t>Convenyance</t>
  </si>
  <si>
    <t>OT in Hrs</t>
  </si>
  <si>
    <t>OT Salary</t>
  </si>
  <si>
    <t>Gross Salary</t>
  </si>
  <si>
    <t>P.F.</t>
  </si>
  <si>
    <t>ESI</t>
  </si>
  <si>
    <t>In Hand Salary</t>
  </si>
  <si>
    <t>Aira</t>
  </si>
  <si>
    <t>Fatima</t>
  </si>
  <si>
    <t>Habiba</t>
  </si>
  <si>
    <t>Umama</t>
  </si>
  <si>
    <t>Sharjeel</t>
  </si>
  <si>
    <t>Shaheer</t>
  </si>
  <si>
    <t>Amaira</t>
  </si>
  <si>
    <t>Halima</t>
  </si>
  <si>
    <t>Ayesha</t>
  </si>
  <si>
    <t>Nisma</t>
  </si>
  <si>
    <t>Ali</t>
  </si>
  <si>
    <t>Hussan</t>
  </si>
  <si>
    <t>Rayan</t>
  </si>
  <si>
    <t>Anaviya</t>
  </si>
  <si>
    <t>Manager</t>
  </si>
  <si>
    <t>Asst. Manager</t>
  </si>
  <si>
    <t>Supervisor</t>
  </si>
  <si>
    <t>Off. Assistant</t>
  </si>
  <si>
    <t>Sales Staff</t>
  </si>
  <si>
    <t>Staff</t>
  </si>
  <si>
    <t>Receptionist</t>
  </si>
  <si>
    <t>Helper</t>
  </si>
  <si>
    <t>Accountant</t>
  </si>
  <si>
    <t>Status</t>
  </si>
  <si>
    <t>EMPLOYEE SALARY SUMMARY</t>
  </si>
  <si>
    <t>Total Employees</t>
  </si>
  <si>
    <t>Total Basic Salary</t>
  </si>
  <si>
    <t>Total Allowance</t>
  </si>
  <si>
    <t>Total Gross Salary</t>
  </si>
  <si>
    <t>Total Deduction</t>
  </si>
  <si>
    <t>Highest Salary</t>
  </si>
  <si>
    <t xml:space="preserve">Lowest Salary </t>
  </si>
  <si>
    <t>Average Salary</t>
  </si>
  <si>
    <t>EMPLOYEE LOOKUP</t>
  </si>
  <si>
    <t>Employee ID</t>
  </si>
  <si>
    <t>OVER TIME</t>
  </si>
  <si>
    <t>Total Over Time Amount</t>
  </si>
  <si>
    <t>Employee Name</t>
  </si>
  <si>
    <t>Deduction</t>
  </si>
  <si>
    <t xml:space="preserve">In Hand Salary </t>
  </si>
  <si>
    <t>Row Labels</t>
  </si>
  <si>
    <t>Grand Total</t>
  </si>
  <si>
    <t>Sum of Basic Salary</t>
  </si>
  <si>
    <t>Sum of In Hand Salary</t>
  </si>
  <si>
    <t>(All)</t>
  </si>
  <si>
    <t>Total Highest Salary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</si>
</sst>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(* #,##0.00_);_(* \(#,##0.00\);_(* &quot;-&quot;??_);_(@_)"/>
    <numFmt numFmtId="164" formatCode="_(* #,##0_);_(* \(#,##0\);_(* &quot;-&quot;??_);_(@_)"/>
    <numFmt numFmtId="165" formatCode="#\ &quot; Hrs &quot;"/>
    <numFmt numFmtId="166" formatCode="#\ &quot; Days &quot;"/>
  </numFmts>
  <fonts count="1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20"/>
      <color theme="0"/>
      <name val="Algerian"/>
      <family val="5"/>
    </font>
    <font>
      <b/>
      <sz val="11"/>
      <color rgb="FF002060"/>
      <name val="Bahnschrift SemiBold"/>
      <family val="2"/>
    </font>
    <font>
      <b/>
      <sz val="11"/>
      <color rgb="FF660033"/>
      <name val="Calibri"/>
      <family val="2"/>
      <scheme val="minor"/>
    </font>
    <font>
      <sz val="14"/>
      <color theme="0"/>
      <name val="Algerian"/>
      <family val="5"/>
    </font>
    <font>
      <sz val="16"/>
      <color theme="0"/>
      <name val="Algerian"/>
      <family val="5"/>
    </font>
  </fonts>
  <fills count="5">
    <fill>
      <patternFill patternType="none"/>
    </fill>
    <fill>
      <patternFill patternType="gray125"/>
    </fill>
    <fill>
      <patternFill patternType="solid">
        <fgColor rgb="FF66003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AF6EA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41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43" fontId="0" fillId="0" borderId="1" xfId="1" applyFont="1" applyBorder="1" applyAlignment="1">
      <alignment horizontal="center" vertical="center"/>
    </xf>
    <xf numFmtId="164" fontId="0" fillId="0" borderId="1" xfId="1" applyNumberFormat="1" applyFont="1" applyBorder="1" applyAlignment="1">
      <alignment horizontal="center" vertical="center"/>
    </xf>
    <xf numFmtId="164" fontId="0" fillId="0" borderId="1" xfId="1" applyNumberFormat="1" applyFont="1" applyBorder="1"/>
    <xf numFmtId="164" fontId="0" fillId="0" borderId="1" xfId="0" applyNumberFormat="1" applyBorder="1"/>
    <xf numFmtId="164" fontId="0" fillId="0" borderId="1" xfId="1" applyNumberFormat="1" applyFont="1" applyBorder="1" applyAlignment="1">
      <alignment horizontal="center"/>
    </xf>
    <xf numFmtId="43" fontId="0" fillId="0" borderId="1" xfId="0" applyNumberFormat="1" applyBorder="1" applyAlignment="1">
      <alignment horizontal="center" vertical="center"/>
    </xf>
    <xf numFmtId="0" fontId="7" fillId="3" borderId="1" xfId="0" applyFont="1" applyFill="1" applyBorder="1" applyAlignment="1">
      <alignment horizontal="left" vertical="center"/>
    </xf>
    <xf numFmtId="165" fontId="0" fillId="0" borderId="1" xfId="0" applyNumberFormat="1" applyBorder="1"/>
    <xf numFmtId="166" fontId="0" fillId="0" borderId="1" xfId="0" applyNumberFormat="1" applyBorder="1" applyAlignment="1">
      <alignment horizontal="center" vertical="center"/>
    </xf>
    <xf numFmtId="0" fontId="7" fillId="3" borderId="3" xfId="0" applyFont="1" applyFill="1" applyBorder="1" applyAlignment="1">
      <alignment horizontal="left" vertical="center"/>
    </xf>
    <xf numFmtId="0" fontId="7" fillId="3" borderId="4" xfId="0" applyFont="1" applyFill="1" applyBorder="1" applyAlignment="1">
      <alignment horizontal="left" vertical="center"/>
    </xf>
    <xf numFmtId="0" fontId="4" fillId="2" borderId="1" xfId="0" applyFont="1" applyFill="1" applyBorder="1"/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left" indent="1"/>
    </xf>
    <xf numFmtId="0" fontId="0" fillId="4" borderId="1" xfId="0" applyFill="1" applyBorder="1" applyAlignment="1">
      <alignment horizontal="left" indent="2"/>
    </xf>
    <xf numFmtId="0" fontId="2" fillId="2" borderId="1" xfId="0" applyFont="1" applyFill="1" applyBorder="1" applyAlignment="1">
      <alignment horizontal="left"/>
    </xf>
    <xf numFmtId="0" fontId="2" fillId="2" borderId="1" xfId="0" applyFont="1" applyFill="1" applyBorder="1"/>
    <xf numFmtId="164" fontId="2" fillId="2" borderId="1" xfId="0" applyNumberFormat="1" applyFont="1" applyFill="1" applyBorder="1"/>
    <xf numFmtId="0" fontId="0" fillId="4" borderId="1" xfId="0" applyFill="1" applyBorder="1"/>
    <xf numFmtId="0" fontId="5" fillId="2" borderId="2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0" fillId="4" borderId="1" xfId="0" applyFill="1" applyBorder="1" applyAlignment="1">
      <alignment horizontal="center"/>
    </xf>
    <xf numFmtId="0" fontId="0" fillId="0" borderId="1" xfId="0" applyBorder="1" applyAlignment="1">
      <alignment horizontal="left" vertical="center"/>
    </xf>
    <xf numFmtId="0" fontId="6" fillId="4" borderId="1" xfId="0" applyFont="1" applyFill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164" fontId="0" fillId="4" borderId="1" xfId="0" applyNumberFormat="1" applyFill="1" applyBorder="1"/>
    <xf numFmtId="0" fontId="0" fillId="0" borderId="6" xfId="0" applyBorder="1" applyAlignment="1">
      <alignment horizontal="center"/>
    </xf>
    <xf numFmtId="0" fontId="0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left" vertical="center"/>
    </xf>
    <xf numFmtId="0" fontId="0" fillId="0" borderId="0" xfId="0" applyFont="1"/>
    <xf numFmtId="0" fontId="0" fillId="4" borderId="1" xfId="0" applyFont="1" applyFill="1" applyBorder="1" applyAlignment="1">
      <alignment horizontal="right"/>
    </xf>
    <xf numFmtId="164" fontId="0" fillId="4" borderId="1" xfId="0" applyNumberFormat="1" applyFont="1" applyFill="1" applyBorder="1" applyAlignment="1">
      <alignment horizontal="right"/>
    </xf>
    <xf numFmtId="0" fontId="0" fillId="4" borderId="1" xfId="0" applyFont="1" applyFill="1" applyBorder="1"/>
    <xf numFmtId="0" fontId="3" fillId="4" borderId="1" xfId="0" applyFont="1" applyFill="1" applyBorder="1" applyAlignment="1">
      <alignment vertical="center"/>
    </xf>
    <xf numFmtId="0" fontId="3" fillId="4" borderId="1" xfId="0" applyFont="1" applyFill="1" applyBorder="1" applyAlignment="1"/>
  </cellXfs>
  <cellStyles count="2">
    <cellStyle name="Comma" xfId="1" builtinId="3"/>
    <cellStyle name="Normal" xfId="0" builtinId="0"/>
  </cellStyles>
  <dxfs count="164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fill>
        <patternFill>
          <bgColor rgb="FFFAF6EA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</font>
    </dxf>
    <dxf>
      <font>
        <b/>
      </font>
    </dxf>
    <dxf>
      <font>
        <color theme="0"/>
      </font>
    </dxf>
    <dxf>
      <font>
        <color theme="0"/>
      </font>
    </dxf>
    <dxf>
      <fill>
        <patternFill patternType="solid">
          <bgColor rgb="FF660033"/>
        </patternFill>
      </fill>
    </dxf>
    <dxf>
      <fill>
        <patternFill patternType="solid">
          <bgColor rgb="FF660033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ill>
        <patternFill patternType="solid">
          <bgColor rgb="FFFAF6EA"/>
        </patternFill>
      </fill>
    </dxf>
    <dxf>
      <font>
        <color theme="0"/>
      </font>
    </dxf>
    <dxf>
      <font>
        <color theme="0"/>
      </font>
    </dxf>
    <dxf>
      <fill>
        <patternFill patternType="solid">
          <bgColor rgb="FF660033"/>
        </patternFill>
      </fill>
    </dxf>
    <dxf>
      <fill>
        <patternFill patternType="solid">
          <bgColor rgb="FF660033"/>
        </patternFill>
      </fill>
    </dxf>
    <dxf>
      <font>
        <b val="0"/>
      </font>
    </dxf>
    <dxf>
      <font>
        <b val="0"/>
      </font>
    </dxf>
  </dxfs>
  <tableStyles count="0" defaultTableStyle="TableStyleMedium2" defaultPivotStyle="PivotStyleLight16"/>
  <colors>
    <mruColors>
      <color rgb="FFFAF6EA"/>
      <color rgb="FF660033"/>
      <color rgb="FFF4EBDC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1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Sheet1!$A$4:$P$4</c:f>
              <c:numCache>
                <c:formatCode>General</c:formatCode>
                <c:ptCount val="16"/>
                <c:pt idx="0">
                  <c:v>1001</c:v>
                </c:pt>
                <c:pt idx="1">
                  <c:v>0</c:v>
                </c:pt>
                <c:pt idx="2">
                  <c:v>0</c:v>
                </c:pt>
                <c:pt idx="3">
                  <c:v>50000</c:v>
                </c:pt>
                <c:pt idx="4" formatCode="#\ &quot; Days &quot;">
                  <c:v>28</c:v>
                </c:pt>
                <c:pt idx="5" formatCode="_(* #,##0_);_(* \(#,##0\);_(* &quot;-&quot;??_);_(@_)">
                  <c:v>46666.666666666672</c:v>
                </c:pt>
                <c:pt idx="6" formatCode="_(* #,##0_);_(* \(#,##0\);_(* &quot;-&quot;??_);_(@_)">
                  <c:v>6000</c:v>
                </c:pt>
                <c:pt idx="7" formatCode="_(* #,##0_);_(* \(#,##0\);_(* &quot;-&quot;??_);_(@_)">
                  <c:v>4000</c:v>
                </c:pt>
                <c:pt idx="8" formatCode="_(* #,##0_);_(* \(#,##0\);_(* &quot;-&quot;??_);_(@_)">
                  <c:v>3000</c:v>
                </c:pt>
                <c:pt idx="9" formatCode="#\ &quot; Hrs &quot;">
                  <c:v>38</c:v>
                </c:pt>
                <c:pt idx="10" formatCode="_(* #,##0.00_);_(* \(#,##0.00\);_(* &quot;-&quot;??_);_(@_)">
                  <c:v>7916.666666666667</c:v>
                </c:pt>
                <c:pt idx="11" formatCode="_(* #,##0_);_(* \(#,##0\);_(* &quot;-&quot;??_);_(@_)">
                  <c:v>67583.333333333343</c:v>
                </c:pt>
                <c:pt idx="12" formatCode="_(* #,##0_);_(* \(#,##0\);_(* &quot;-&quot;??_);_(@_)">
                  <c:v>6000</c:v>
                </c:pt>
                <c:pt idx="13" formatCode="_(* #,##0.00_);_(* \(#,##0.00\);_(* &quot;-&quot;??_);_(@_)">
                  <c:v>506.87500000000006</c:v>
                </c:pt>
                <c:pt idx="14" formatCode="_(* #,##0_);_(* \(#,##0\);_(* &quot;-&quot;??_);_(@_)">
                  <c:v>61076.458333333343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26A-4DD9-948E-1C46A169D7F9}"/>
            </c:ext>
          </c:extLst>
        </c:ser>
        <c:ser>
          <c:idx val="1"/>
          <c:order val="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2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3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Sheet1!$A$5:$P$5</c:f>
              <c:numCache>
                <c:formatCode>General</c:formatCode>
                <c:ptCount val="16"/>
                <c:pt idx="0">
                  <c:v>1002</c:v>
                </c:pt>
                <c:pt idx="1">
                  <c:v>0</c:v>
                </c:pt>
                <c:pt idx="2">
                  <c:v>0</c:v>
                </c:pt>
                <c:pt idx="3">
                  <c:v>40000</c:v>
                </c:pt>
                <c:pt idx="4" formatCode="#\ &quot; Days &quot;">
                  <c:v>26</c:v>
                </c:pt>
                <c:pt idx="5" formatCode="_(* #,##0_);_(* \(#,##0\);_(* &quot;-&quot;??_);_(@_)">
                  <c:v>34666.666666666664</c:v>
                </c:pt>
                <c:pt idx="6" formatCode="_(* #,##0_);_(* \(#,##0\);_(* &quot;-&quot;??_);_(@_)">
                  <c:v>4800</c:v>
                </c:pt>
                <c:pt idx="7" formatCode="_(* #,##0_);_(* \(#,##0\);_(* &quot;-&quot;??_);_(@_)">
                  <c:v>3200</c:v>
                </c:pt>
                <c:pt idx="8" formatCode="_(* #,##0_);_(* \(#,##0\);_(* &quot;-&quot;??_);_(@_)">
                  <c:v>3000</c:v>
                </c:pt>
                <c:pt idx="9" formatCode="#\ &quot; Hrs &quot;">
                  <c:v>61</c:v>
                </c:pt>
                <c:pt idx="10" formatCode="_(* #,##0.00_);_(* \(#,##0.00\);_(* &quot;-&quot;??_);_(@_)">
                  <c:v>10166.666666666666</c:v>
                </c:pt>
                <c:pt idx="11" formatCode="_(* #,##0_);_(* \(#,##0\);_(* &quot;-&quot;??_);_(@_)">
                  <c:v>55833.333333333328</c:v>
                </c:pt>
                <c:pt idx="12" formatCode="_(* #,##0_);_(* \(#,##0\);_(* &quot;-&quot;??_);_(@_)">
                  <c:v>4800</c:v>
                </c:pt>
                <c:pt idx="13" formatCode="_(* #,##0.00_);_(* \(#,##0.00\);_(* &quot;-&quot;??_);_(@_)">
                  <c:v>418.74999999999994</c:v>
                </c:pt>
                <c:pt idx="14" formatCode="_(* #,##0_);_(* \(#,##0\);_(* &quot;-&quot;??_);_(@_)">
                  <c:v>50614.583333333328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26A-4DD9-948E-1C46A169D7F9}"/>
            </c:ext>
          </c:extLst>
        </c:ser>
        <c:ser>
          <c:idx val="2"/>
          <c:order val="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4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5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Sheet1!$A$6:$P$6</c:f>
              <c:numCache>
                <c:formatCode>General</c:formatCode>
                <c:ptCount val="16"/>
                <c:pt idx="0">
                  <c:v>1003</c:v>
                </c:pt>
                <c:pt idx="1">
                  <c:v>0</c:v>
                </c:pt>
                <c:pt idx="2">
                  <c:v>0</c:v>
                </c:pt>
                <c:pt idx="3">
                  <c:v>32000</c:v>
                </c:pt>
                <c:pt idx="4" formatCode="#\ &quot; Days &quot;">
                  <c:v>30</c:v>
                </c:pt>
                <c:pt idx="5" formatCode="_(* #,##0_);_(* \(#,##0\);_(* &quot;-&quot;??_);_(@_)">
                  <c:v>32000.000000000004</c:v>
                </c:pt>
                <c:pt idx="6" formatCode="_(* #,##0_);_(* \(#,##0\);_(* &quot;-&quot;??_);_(@_)">
                  <c:v>3840</c:v>
                </c:pt>
                <c:pt idx="7" formatCode="_(* #,##0_);_(* \(#,##0\);_(* &quot;-&quot;??_);_(@_)">
                  <c:v>2560</c:v>
                </c:pt>
                <c:pt idx="8" formatCode="_(* #,##0_);_(* \(#,##0\);_(* &quot;-&quot;??_);_(@_)">
                  <c:v>3000</c:v>
                </c:pt>
                <c:pt idx="9" formatCode="#\ &quot; Hrs &quot;">
                  <c:v>36</c:v>
                </c:pt>
                <c:pt idx="10" formatCode="_(* #,##0.00_);_(* \(#,##0.00\);_(* &quot;-&quot;??_);_(@_)">
                  <c:v>4800</c:v>
                </c:pt>
                <c:pt idx="11" formatCode="_(* #,##0_);_(* \(#,##0\);_(* &quot;-&quot;??_);_(@_)">
                  <c:v>46200</c:v>
                </c:pt>
                <c:pt idx="12" formatCode="_(* #,##0_);_(* \(#,##0\);_(* &quot;-&quot;??_);_(@_)">
                  <c:v>3840</c:v>
                </c:pt>
                <c:pt idx="13" formatCode="_(* #,##0.00_);_(* \(#,##0.00\);_(* &quot;-&quot;??_);_(@_)">
                  <c:v>346.5</c:v>
                </c:pt>
                <c:pt idx="14" formatCode="_(* #,##0_);_(* \(#,##0\);_(* &quot;-&quot;??_);_(@_)">
                  <c:v>42013.5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26A-4DD9-948E-1C46A169D7F9}"/>
            </c:ext>
          </c:extLst>
        </c:ser>
        <c:ser>
          <c:idx val="3"/>
          <c:order val="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6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7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Sheet1!$A$7:$P$7</c:f>
              <c:numCache>
                <c:formatCode>General</c:formatCode>
                <c:ptCount val="16"/>
                <c:pt idx="0">
                  <c:v>1004</c:v>
                </c:pt>
                <c:pt idx="1">
                  <c:v>0</c:v>
                </c:pt>
                <c:pt idx="2">
                  <c:v>0</c:v>
                </c:pt>
                <c:pt idx="3">
                  <c:v>45000</c:v>
                </c:pt>
                <c:pt idx="4" formatCode="#\ &quot; Days &quot;">
                  <c:v>28</c:v>
                </c:pt>
                <c:pt idx="5" formatCode="_(* #,##0_);_(* \(#,##0\);_(* &quot;-&quot;??_);_(@_)">
                  <c:v>42000</c:v>
                </c:pt>
                <c:pt idx="6" formatCode="_(* #,##0_);_(* \(#,##0\);_(* &quot;-&quot;??_);_(@_)">
                  <c:v>5400</c:v>
                </c:pt>
                <c:pt idx="7" formatCode="_(* #,##0_);_(* \(#,##0\);_(* &quot;-&quot;??_);_(@_)">
                  <c:v>3600</c:v>
                </c:pt>
                <c:pt idx="8" formatCode="_(* #,##0_);_(* \(#,##0\);_(* &quot;-&quot;??_);_(@_)">
                  <c:v>3000</c:v>
                </c:pt>
                <c:pt idx="9" formatCode="#\ &quot; Hrs &quot;">
                  <c:v>45</c:v>
                </c:pt>
                <c:pt idx="10" formatCode="_(* #,##0.00_);_(* \(#,##0.00\);_(* &quot;-&quot;??_);_(@_)">
                  <c:v>8437.5</c:v>
                </c:pt>
                <c:pt idx="11" formatCode="_(* #,##0_);_(* \(#,##0\);_(* &quot;-&quot;??_);_(@_)">
                  <c:v>62437.5</c:v>
                </c:pt>
                <c:pt idx="12" formatCode="_(* #,##0_);_(* \(#,##0\);_(* &quot;-&quot;??_);_(@_)">
                  <c:v>5400</c:v>
                </c:pt>
                <c:pt idx="13" formatCode="_(* #,##0.00_);_(* \(#,##0.00\);_(* &quot;-&quot;??_);_(@_)">
                  <c:v>468.28125</c:v>
                </c:pt>
                <c:pt idx="14" formatCode="_(* #,##0_);_(* \(#,##0\);_(* &quot;-&quot;??_);_(@_)">
                  <c:v>56569.21875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026A-4DD9-948E-1C46A169D7F9}"/>
            </c:ext>
          </c:extLst>
        </c:ser>
        <c:ser>
          <c:idx val="4"/>
          <c:order val="4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8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9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Sheet1!$A$8:$P$8</c:f>
              <c:numCache>
                <c:formatCode>General</c:formatCode>
                <c:ptCount val="16"/>
                <c:pt idx="0">
                  <c:v>1005</c:v>
                </c:pt>
                <c:pt idx="1">
                  <c:v>0</c:v>
                </c:pt>
                <c:pt idx="2">
                  <c:v>0</c:v>
                </c:pt>
                <c:pt idx="3">
                  <c:v>37000</c:v>
                </c:pt>
                <c:pt idx="4" formatCode="#\ &quot; Days &quot;">
                  <c:v>24</c:v>
                </c:pt>
                <c:pt idx="5" formatCode="_(* #,##0_);_(* \(#,##0\);_(* &quot;-&quot;??_);_(@_)">
                  <c:v>29600</c:v>
                </c:pt>
                <c:pt idx="6" formatCode="_(* #,##0_);_(* \(#,##0\);_(* &quot;-&quot;??_);_(@_)">
                  <c:v>4440</c:v>
                </c:pt>
                <c:pt idx="7" formatCode="_(* #,##0_);_(* \(#,##0\);_(* &quot;-&quot;??_);_(@_)">
                  <c:v>2960</c:v>
                </c:pt>
                <c:pt idx="8" formatCode="_(* #,##0_);_(* \(#,##0\);_(* &quot;-&quot;??_);_(@_)">
                  <c:v>3000</c:v>
                </c:pt>
                <c:pt idx="9" formatCode="#\ &quot; Hrs &quot;">
                  <c:v>40</c:v>
                </c:pt>
                <c:pt idx="10" formatCode="_(* #,##0.00_);_(* \(#,##0.00\);_(* &quot;-&quot;??_);_(@_)">
                  <c:v>6166.6666666666661</c:v>
                </c:pt>
                <c:pt idx="11" formatCode="_(* #,##0_);_(* \(#,##0\);_(* &quot;-&quot;??_);_(@_)">
                  <c:v>46166.666666666664</c:v>
                </c:pt>
                <c:pt idx="12" formatCode="_(* #,##0_);_(* \(#,##0\);_(* &quot;-&quot;??_);_(@_)">
                  <c:v>4440</c:v>
                </c:pt>
                <c:pt idx="13" formatCode="_(* #,##0.00_);_(* \(#,##0.00\);_(* &quot;-&quot;??_);_(@_)">
                  <c:v>346.24999999999994</c:v>
                </c:pt>
                <c:pt idx="14" formatCode="_(* #,##0_);_(* \(#,##0\);_(* &quot;-&quot;??_);_(@_)">
                  <c:v>41380.416666666664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26A-4DD9-948E-1C46A169D7F9}"/>
            </c:ext>
          </c:extLst>
        </c:ser>
        <c:ser>
          <c:idx val="5"/>
          <c:order val="5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A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B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Sheet1!$A$9:$P$9</c:f>
              <c:numCache>
                <c:formatCode>General</c:formatCode>
                <c:ptCount val="16"/>
                <c:pt idx="0">
                  <c:v>1006</c:v>
                </c:pt>
                <c:pt idx="1">
                  <c:v>0</c:v>
                </c:pt>
                <c:pt idx="2">
                  <c:v>0</c:v>
                </c:pt>
                <c:pt idx="3">
                  <c:v>30000</c:v>
                </c:pt>
                <c:pt idx="4" formatCode="#\ &quot; Days &quot;">
                  <c:v>25</c:v>
                </c:pt>
                <c:pt idx="5" formatCode="_(* #,##0_);_(* \(#,##0\);_(* &quot;-&quot;??_);_(@_)">
                  <c:v>25000</c:v>
                </c:pt>
                <c:pt idx="6" formatCode="_(* #,##0_);_(* \(#,##0\);_(* &quot;-&quot;??_);_(@_)">
                  <c:v>3600</c:v>
                </c:pt>
                <c:pt idx="7" formatCode="_(* #,##0_);_(* \(#,##0\);_(* &quot;-&quot;??_);_(@_)">
                  <c:v>2400</c:v>
                </c:pt>
                <c:pt idx="8" formatCode="_(* #,##0_);_(* \(#,##0\);_(* &quot;-&quot;??_);_(@_)">
                  <c:v>3000</c:v>
                </c:pt>
                <c:pt idx="9" formatCode="#\ &quot; Hrs &quot;">
                  <c:v>62</c:v>
                </c:pt>
                <c:pt idx="10" formatCode="_(* #,##0.00_);_(* \(#,##0.00\);_(* &quot;-&quot;??_);_(@_)">
                  <c:v>7750</c:v>
                </c:pt>
                <c:pt idx="11" formatCode="_(* #,##0_);_(* \(#,##0\);_(* &quot;-&quot;??_);_(@_)">
                  <c:v>41750</c:v>
                </c:pt>
                <c:pt idx="12" formatCode="_(* #,##0_);_(* \(#,##0\);_(* &quot;-&quot;??_);_(@_)">
                  <c:v>3600</c:v>
                </c:pt>
                <c:pt idx="13" formatCode="_(* #,##0.00_);_(* \(#,##0.00\);_(* &quot;-&quot;??_);_(@_)">
                  <c:v>313.125</c:v>
                </c:pt>
                <c:pt idx="14" formatCode="_(* #,##0_);_(* \(#,##0\);_(* &quot;-&quot;??_);_(@_)">
                  <c:v>37836.875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026A-4DD9-948E-1C46A169D7F9}"/>
            </c:ext>
          </c:extLst>
        </c:ser>
        <c:ser>
          <c:idx val="6"/>
          <c:order val="6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C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D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Sheet1!$A$10:$P$10</c:f>
              <c:numCache>
                <c:formatCode>General</c:formatCode>
                <c:ptCount val="16"/>
                <c:pt idx="0">
                  <c:v>1007</c:v>
                </c:pt>
                <c:pt idx="1">
                  <c:v>0</c:v>
                </c:pt>
                <c:pt idx="2">
                  <c:v>0</c:v>
                </c:pt>
                <c:pt idx="3">
                  <c:v>26000</c:v>
                </c:pt>
                <c:pt idx="4" formatCode="#\ &quot; Days &quot;">
                  <c:v>29</c:v>
                </c:pt>
                <c:pt idx="5" formatCode="_(* #,##0_);_(* \(#,##0\);_(* &quot;-&quot;??_);_(@_)">
                  <c:v>25133.333333333332</c:v>
                </c:pt>
                <c:pt idx="6" formatCode="_(* #,##0_);_(* \(#,##0\);_(* &quot;-&quot;??_);_(@_)">
                  <c:v>3120</c:v>
                </c:pt>
                <c:pt idx="7" formatCode="_(* #,##0_);_(* \(#,##0\);_(* &quot;-&quot;??_);_(@_)">
                  <c:v>2080</c:v>
                </c:pt>
                <c:pt idx="8" formatCode="_(* #,##0_);_(* \(#,##0\);_(* &quot;-&quot;??_);_(@_)">
                  <c:v>3000</c:v>
                </c:pt>
                <c:pt idx="9" formatCode="#\ &quot; Hrs &quot;">
                  <c:v>49</c:v>
                </c:pt>
                <c:pt idx="10" formatCode="_(* #,##0.00_);_(* \(#,##0.00\);_(* &quot;-&quot;??_);_(@_)">
                  <c:v>5308.333333333333</c:v>
                </c:pt>
                <c:pt idx="11" formatCode="_(* #,##0_);_(* \(#,##0\);_(* &quot;-&quot;??_);_(@_)">
                  <c:v>38641.666666666664</c:v>
                </c:pt>
                <c:pt idx="12" formatCode="_(* #,##0_);_(* \(#,##0\);_(* &quot;-&quot;??_);_(@_)">
                  <c:v>3120</c:v>
                </c:pt>
                <c:pt idx="13" formatCode="_(* #,##0.00_);_(* \(#,##0.00\);_(* &quot;-&quot;??_);_(@_)">
                  <c:v>289.81249999999994</c:v>
                </c:pt>
                <c:pt idx="14" formatCode="_(* #,##0_);_(* \(#,##0\);_(* &quot;-&quot;??_);_(@_)">
                  <c:v>35231.854166666664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026A-4DD9-948E-1C46A169D7F9}"/>
            </c:ext>
          </c:extLst>
        </c:ser>
        <c:ser>
          <c:idx val="7"/>
          <c:order val="7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E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F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Sheet1!$A$11:$P$11</c:f>
              <c:numCache>
                <c:formatCode>General</c:formatCode>
                <c:ptCount val="16"/>
                <c:pt idx="0">
                  <c:v>1008</c:v>
                </c:pt>
                <c:pt idx="1">
                  <c:v>0</c:v>
                </c:pt>
                <c:pt idx="2">
                  <c:v>0</c:v>
                </c:pt>
                <c:pt idx="3">
                  <c:v>18000</c:v>
                </c:pt>
                <c:pt idx="4" formatCode="#\ &quot; Days &quot;">
                  <c:v>26</c:v>
                </c:pt>
                <c:pt idx="5" formatCode="_(* #,##0_);_(* \(#,##0\);_(* &quot;-&quot;??_);_(@_)">
                  <c:v>15600</c:v>
                </c:pt>
                <c:pt idx="6" formatCode="_(* #,##0_);_(* \(#,##0\);_(* &quot;-&quot;??_);_(@_)">
                  <c:v>2160</c:v>
                </c:pt>
                <c:pt idx="7" formatCode="_(* #,##0_);_(* \(#,##0\);_(* &quot;-&quot;??_);_(@_)">
                  <c:v>1440</c:v>
                </c:pt>
                <c:pt idx="8" formatCode="_(* #,##0_);_(* \(#,##0\);_(* &quot;-&quot;??_);_(@_)">
                  <c:v>3000</c:v>
                </c:pt>
                <c:pt idx="9" formatCode="#\ &quot; Hrs &quot;">
                  <c:v>36</c:v>
                </c:pt>
                <c:pt idx="10" formatCode="_(* #,##0.00_);_(* \(#,##0.00\);_(* &quot;-&quot;??_);_(@_)">
                  <c:v>2700</c:v>
                </c:pt>
                <c:pt idx="11" formatCode="_(* #,##0_);_(* \(#,##0\);_(* &quot;-&quot;??_);_(@_)">
                  <c:v>24900</c:v>
                </c:pt>
                <c:pt idx="12" formatCode="_(* #,##0_);_(* \(#,##0\);_(* &quot;-&quot;??_);_(@_)">
                  <c:v>2160</c:v>
                </c:pt>
                <c:pt idx="13" formatCode="_(* #,##0.00_);_(* \(#,##0.00\);_(* &quot;-&quot;??_);_(@_)">
                  <c:v>186.75</c:v>
                </c:pt>
                <c:pt idx="14" formatCode="_(* #,##0_);_(* \(#,##0\);_(* &quot;-&quot;??_);_(@_)">
                  <c:v>22553.25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026A-4DD9-948E-1C46A169D7F9}"/>
            </c:ext>
          </c:extLst>
        </c:ser>
        <c:ser>
          <c:idx val="8"/>
          <c:order val="8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0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1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Sheet1!$A$12:$P$12</c:f>
              <c:numCache>
                <c:formatCode>General</c:formatCode>
                <c:ptCount val="16"/>
                <c:pt idx="0">
                  <c:v>1009</c:v>
                </c:pt>
                <c:pt idx="1">
                  <c:v>0</c:v>
                </c:pt>
                <c:pt idx="2">
                  <c:v>0</c:v>
                </c:pt>
                <c:pt idx="3">
                  <c:v>35000</c:v>
                </c:pt>
                <c:pt idx="4" formatCode="#\ &quot; Days &quot;">
                  <c:v>29</c:v>
                </c:pt>
                <c:pt idx="5" formatCode="_(* #,##0_);_(* \(#,##0\);_(* &quot;-&quot;??_);_(@_)">
                  <c:v>33833.333333333336</c:v>
                </c:pt>
                <c:pt idx="6" formatCode="_(* #,##0_);_(* \(#,##0\);_(* &quot;-&quot;??_);_(@_)">
                  <c:v>4200</c:v>
                </c:pt>
                <c:pt idx="7" formatCode="_(* #,##0_);_(* \(#,##0\);_(* &quot;-&quot;??_);_(@_)">
                  <c:v>2800</c:v>
                </c:pt>
                <c:pt idx="8" formatCode="_(* #,##0_);_(* \(#,##0\);_(* &quot;-&quot;??_);_(@_)">
                  <c:v>3000</c:v>
                </c:pt>
                <c:pt idx="9" formatCode="#\ &quot; Hrs &quot;">
                  <c:v>45</c:v>
                </c:pt>
                <c:pt idx="10" formatCode="_(* #,##0.00_);_(* \(#,##0.00\);_(* &quot;-&quot;??_);_(@_)">
                  <c:v>6562.5</c:v>
                </c:pt>
                <c:pt idx="11" formatCode="_(* #,##0_);_(* \(#,##0\);_(* &quot;-&quot;??_);_(@_)">
                  <c:v>50395.833333333336</c:v>
                </c:pt>
                <c:pt idx="12" formatCode="_(* #,##0_);_(* \(#,##0\);_(* &quot;-&quot;??_);_(@_)">
                  <c:v>4200</c:v>
                </c:pt>
                <c:pt idx="13" formatCode="_(* #,##0.00_);_(* \(#,##0.00\);_(* &quot;-&quot;??_);_(@_)">
                  <c:v>377.96875</c:v>
                </c:pt>
                <c:pt idx="14" formatCode="_(* #,##0_);_(* \(#,##0\);_(* &quot;-&quot;??_);_(@_)">
                  <c:v>45817.864583333336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026A-4DD9-948E-1C46A169D7F9}"/>
            </c:ext>
          </c:extLst>
        </c:ser>
        <c:ser>
          <c:idx val="9"/>
          <c:order val="9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2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3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Sheet1!$A$13:$P$13</c:f>
              <c:numCache>
                <c:formatCode>General</c:formatCode>
                <c:ptCount val="16"/>
                <c:pt idx="0">
                  <c:v>1010</c:v>
                </c:pt>
                <c:pt idx="1">
                  <c:v>0</c:v>
                </c:pt>
                <c:pt idx="2">
                  <c:v>0</c:v>
                </c:pt>
                <c:pt idx="3">
                  <c:v>30000</c:v>
                </c:pt>
                <c:pt idx="4" formatCode="#\ &quot; Days &quot;">
                  <c:v>30</c:v>
                </c:pt>
                <c:pt idx="5" formatCode="_(* #,##0_);_(* \(#,##0\);_(* &quot;-&quot;??_);_(@_)">
                  <c:v>30000</c:v>
                </c:pt>
                <c:pt idx="6" formatCode="_(* #,##0_);_(* \(#,##0\);_(* &quot;-&quot;??_);_(@_)">
                  <c:v>3600</c:v>
                </c:pt>
                <c:pt idx="7" formatCode="_(* #,##0_);_(* \(#,##0\);_(* &quot;-&quot;??_);_(@_)">
                  <c:v>2400</c:v>
                </c:pt>
                <c:pt idx="8" formatCode="_(* #,##0_);_(* \(#,##0\);_(* &quot;-&quot;??_);_(@_)">
                  <c:v>3000</c:v>
                </c:pt>
                <c:pt idx="9" formatCode="#\ &quot; Hrs &quot;">
                  <c:v>51</c:v>
                </c:pt>
                <c:pt idx="10" formatCode="_(* #,##0.00_);_(* \(#,##0.00\);_(* &quot;-&quot;??_);_(@_)">
                  <c:v>6375</c:v>
                </c:pt>
                <c:pt idx="11" formatCode="_(* #,##0_);_(* \(#,##0\);_(* &quot;-&quot;??_);_(@_)">
                  <c:v>45375</c:v>
                </c:pt>
                <c:pt idx="12" formatCode="_(* #,##0_);_(* \(#,##0\);_(* &quot;-&quot;??_);_(@_)">
                  <c:v>3600</c:v>
                </c:pt>
                <c:pt idx="13" formatCode="_(* #,##0.00_);_(* \(#,##0.00\);_(* &quot;-&quot;??_);_(@_)">
                  <c:v>340.3125</c:v>
                </c:pt>
                <c:pt idx="14" formatCode="_(* #,##0_);_(* \(#,##0\);_(* &quot;-&quot;??_);_(@_)">
                  <c:v>41434.6875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9-026A-4DD9-948E-1C46A169D7F9}"/>
            </c:ext>
          </c:extLst>
        </c:ser>
        <c:ser>
          <c:idx val="10"/>
          <c:order val="10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4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5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Sheet1!$A$14:$P$14</c:f>
              <c:numCache>
                <c:formatCode>General</c:formatCode>
                <c:ptCount val="16"/>
                <c:pt idx="0">
                  <c:v>1011</c:v>
                </c:pt>
                <c:pt idx="1">
                  <c:v>0</c:v>
                </c:pt>
                <c:pt idx="2">
                  <c:v>0</c:v>
                </c:pt>
                <c:pt idx="3">
                  <c:v>40000</c:v>
                </c:pt>
                <c:pt idx="4" formatCode="#\ &quot; Days &quot;">
                  <c:v>30</c:v>
                </c:pt>
                <c:pt idx="5" formatCode="_(* #,##0_);_(* \(#,##0\);_(* &quot;-&quot;??_);_(@_)">
                  <c:v>40000</c:v>
                </c:pt>
                <c:pt idx="6" formatCode="_(* #,##0_);_(* \(#,##0\);_(* &quot;-&quot;??_);_(@_)">
                  <c:v>4800</c:v>
                </c:pt>
                <c:pt idx="7" formatCode="_(* #,##0_);_(* \(#,##0\);_(* &quot;-&quot;??_);_(@_)">
                  <c:v>3200</c:v>
                </c:pt>
                <c:pt idx="8" formatCode="_(* #,##0_);_(* \(#,##0\);_(* &quot;-&quot;??_);_(@_)">
                  <c:v>3000</c:v>
                </c:pt>
                <c:pt idx="9" formatCode="#\ &quot; Hrs &quot;">
                  <c:v>52</c:v>
                </c:pt>
                <c:pt idx="10" formatCode="_(* #,##0.00_);_(* \(#,##0.00\);_(* &quot;-&quot;??_);_(@_)">
                  <c:v>8666.6666666666661</c:v>
                </c:pt>
                <c:pt idx="11" formatCode="_(* #,##0_);_(* \(#,##0\);_(* &quot;-&quot;??_);_(@_)">
                  <c:v>59666.666666666664</c:v>
                </c:pt>
                <c:pt idx="12" formatCode="_(* #,##0_);_(* \(#,##0\);_(* &quot;-&quot;??_);_(@_)">
                  <c:v>4800</c:v>
                </c:pt>
                <c:pt idx="13" formatCode="_(* #,##0.00_);_(* \(#,##0.00\);_(* &quot;-&quot;??_);_(@_)">
                  <c:v>447.49999999999994</c:v>
                </c:pt>
                <c:pt idx="14" formatCode="_(* #,##0_);_(* \(#,##0\);_(* &quot;-&quot;??_);_(@_)">
                  <c:v>54419.166666666664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026A-4DD9-948E-1C46A169D7F9}"/>
            </c:ext>
          </c:extLst>
        </c:ser>
        <c:ser>
          <c:idx val="11"/>
          <c:order val="11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6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7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Sheet1!$A$15:$P$15</c:f>
              <c:numCache>
                <c:formatCode>General</c:formatCode>
                <c:ptCount val="16"/>
                <c:pt idx="0">
                  <c:v>1012</c:v>
                </c:pt>
                <c:pt idx="1">
                  <c:v>0</c:v>
                </c:pt>
                <c:pt idx="2">
                  <c:v>0</c:v>
                </c:pt>
                <c:pt idx="3">
                  <c:v>35000</c:v>
                </c:pt>
                <c:pt idx="4" formatCode="#\ &quot; Days &quot;">
                  <c:v>28</c:v>
                </c:pt>
                <c:pt idx="5" formatCode="_(* #,##0_);_(* \(#,##0\);_(* &quot;-&quot;??_);_(@_)">
                  <c:v>32666.666666666668</c:v>
                </c:pt>
                <c:pt idx="6" formatCode="_(* #,##0_);_(* \(#,##0\);_(* &quot;-&quot;??_);_(@_)">
                  <c:v>4200</c:v>
                </c:pt>
                <c:pt idx="7" formatCode="_(* #,##0_);_(* \(#,##0\);_(* &quot;-&quot;??_);_(@_)">
                  <c:v>2800</c:v>
                </c:pt>
                <c:pt idx="8" formatCode="_(* #,##0_);_(* \(#,##0\);_(* &quot;-&quot;??_);_(@_)">
                  <c:v>3000</c:v>
                </c:pt>
                <c:pt idx="9" formatCode="#\ &quot; Hrs &quot;">
                  <c:v>51</c:v>
                </c:pt>
                <c:pt idx="10" formatCode="_(* #,##0.00_);_(* \(#,##0.00\);_(* &quot;-&quot;??_);_(@_)">
                  <c:v>7437.5000000000009</c:v>
                </c:pt>
                <c:pt idx="11" formatCode="_(* #,##0_);_(* \(#,##0\);_(* &quot;-&quot;??_);_(@_)">
                  <c:v>50104.166666666672</c:v>
                </c:pt>
                <c:pt idx="12" formatCode="_(* #,##0_);_(* \(#,##0\);_(* &quot;-&quot;??_);_(@_)">
                  <c:v>4200</c:v>
                </c:pt>
                <c:pt idx="13" formatCode="_(* #,##0.00_);_(* \(#,##0.00\);_(* &quot;-&quot;??_);_(@_)">
                  <c:v>375.78125</c:v>
                </c:pt>
                <c:pt idx="14" formatCode="_(* #,##0_);_(* \(#,##0\);_(* &quot;-&quot;??_);_(@_)">
                  <c:v>45528.385416666672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026A-4DD9-948E-1C46A169D7F9}"/>
            </c:ext>
          </c:extLst>
        </c:ser>
        <c:ser>
          <c:idx val="12"/>
          <c:order val="12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8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9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Sheet1!$A$16:$P$16</c:f>
              <c:numCache>
                <c:formatCode>General</c:formatCode>
                <c:ptCount val="16"/>
                <c:pt idx="0">
                  <c:v>1013</c:v>
                </c:pt>
                <c:pt idx="1">
                  <c:v>0</c:v>
                </c:pt>
                <c:pt idx="2">
                  <c:v>0</c:v>
                </c:pt>
                <c:pt idx="3">
                  <c:v>35000</c:v>
                </c:pt>
                <c:pt idx="4" formatCode="#\ &quot; Days &quot;">
                  <c:v>30</c:v>
                </c:pt>
                <c:pt idx="5" formatCode="_(* #,##0_);_(* \(#,##0\);_(* &quot;-&quot;??_);_(@_)">
                  <c:v>35000</c:v>
                </c:pt>
                <c:pt idx="6" formatCode="_(* #,##0_);_(* \(#,##0\);_(* &quot;-&quot;??_);_(@_)">
                  <c:v>4200</c:v>
                </c:pt>
                <c:pt idx="7" formatCode="_(* #,##0_);_(* \(#,##0\);_(* &quot;-&quot;??_);_(@_)">
                  <c:v>2800</c:v>
                </c:pt>
                <c:pt idx="8" formatCode="_(* #,##0_);_(* \(#,##0\);_(* &quot;-&quot;??_);_(@_)">
                  <c:v>3000</c:v>
                </c:pt>
                <c:pt idx="9" formatCode="#\ &quot; Hrs &quot;">
                  <c:v>67</c:v>
                </c:pt>
                <c:pt idx="10" formatCode="_(* #,##0.00_);_(* \(#,##0.00\);_(* &quot;-&quot;??_);_(@_)">
                  <c:v>9770.8333333333339</c:v>
                </c:pt>
                <c:pt idx="11" formatCode="_(* #,##0_);_(* \(#,##0\);_(* &quot;-&quot;??_);_(@_)">
                  <c:v>54770.833333333336</c:v>
                </c:pt>
                <c:pt idx="12" formatCode="_(* #,##0_);_(* \(#,##0\);_(* &quot;-&quot;??_);_(@_)">
                  <c:v>4200</c:v>
                </c:pt>
                <c:pt idx="13" formatCode="_(* #,##0.00_);_(* \(#,##0.00\);_(* &quot;-&quot;??_);_(@_)">
                  <c:v>410.78125</c:v>
                </c:pt>
                <c:pt idx="14" formatCode="_(* #,##0_);_(* \(#,##0\);_(* &quot;-&quot;??_);_(@_)">
                  <c:v>50160.052083333336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026A-4DD9-948E-1C46A169D7F9}"/>
            </c:ext>
          </c:extLst>
        </c:ser>
        <c:ser>
          <c:idx val="13"/>
          <c:order val="13"/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1-8E4A-4188-954D-5FB541176D8A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3-8E4A-4188-954D-5FB541176D8A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5-8E4A-4188-954D-5FB541176D8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7-8E4A-4188-954D-5FB541176D8A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9-8E4A-4188-954D-5FB541176D8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B-8E4A-4188-954D-5FB541176D8A}"/>
              </c:ext>
            </c:extLst>
          </c:dPt>
          <c:dPt>
            <c:idx val="6"/>
            <c:bubble3D val="0"/>
            <c:spPr>
              <a:solidFill>
                <a:schemeClr val="accent1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D-8E4A-4188-954D-5FB541176D8A}"/>
              </c:ext>
            </c:extLst>
          </c:dPt>
          <c:dPt>
            <c:idx val="7"/>
            <c:bubble3D val="0"/>
            <c:spPr>
              <a:solidFill>
                <a:schemeClr val="accent2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AF-8E4A-4188-954D-5FB541176D8A}"/>
              </c:ext>
            </c:extLst>
          </c:dPt>
          <c:dPt>
            <c:idx val="8"/>
            <c:bubble3D val="0"/>
            <c:spPr>
              <a:solidFill>
                <a:schemeClr val="accent3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1-8E4A-4188-954D-5FB541176D8A}"/>
              </c:ext>
            </c:extLst>
          </c:dPt>
          <c:dPt>
            <c:idx val="9"/>
            <c:bubble3D val="0"/>
            <c:spPr>
              <a:solidFill>
                <a:schemeClr val="accent4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3-8E4A-4188-954D-5FB541176D8A}"/>
              </c:ext>
            </c:extLst>
          </c:dPt>
          <c:dPt>
            <c:idx val="10"/>
            <c:bubble3D val="0"/>
            <c:spPr>
              <a:solidFill>
                <a:schemeClr val="accent5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5-8E4A-4188-954D-5FB541176D8A}"/>
              </c:ext>
            </c:extLst>
          </c:dPt>
          <c:dPt>
            <c:idx val="11"/>
            <c:bubble3D val="0"/>
            <c:spPr>
              <a:solidFill>
                <a:schemeClr val="accent6">
                  <a:lumMod val="6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7-8E4A-4188-954D-5FB541176D8A}"/>
              </c:ext>
            </c:extLst>
          </c:dPt>
          <c:dPt>
            <c:idx val="12"/>
            <c:bubble3D val="0"/>
            <c:spPr>
              <a:solidFill>
                <a:schemeClr val="accent1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9-8E4A-4188-954D-5FB541176D8A}"/>
              </c:ext>
            </c:extLst>
          </c:dPt>
          <c:dPt>
            <c:idx val="13"/>
            <c:bubble3D val="0"/>
            <c:spPr>
              <a:solidFill>
                <a:schemeClr val="accent2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B-8E4A-4188-954D-5FB541176D8A}"/>
              </c:ext>
            </c:extLst>
          </c:dPt>
          <c:dPt>
            <c:idx val="14"/>
            <c:bubble3D val="0"/>
            <c:spPr>
              <a:solidFill>
                <a:schemeClr val="accent3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D-8E4A-4188-954D-5FB541176D8A}"/>
              </c:ext>
            </c:extLst>
          </c:dPt>
          <c:dPt>
            <c:idx val="15"/>
            <c:bubble3D val="0"/>
            <c:spPr>
              <a:solidFill>
                <a:schemeClr val="accent4">
                  <a:lumMod val="80000"/>
                  <a:lumOff val="20000"/>
                </a:schemeClr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1BF-8E4A-4188-954D-5FB541176D8A}"/>
              </c:ext>
            </c:extLst>
          </c:dPt>
          <c:dLbls>
            <c:spPr>
              <a:pattFill prst="pct75">
                <a:fgClr>
                  <a:schemeClr val="dk1">
                    <a:lumMod val="75000"/>
                    <a:lumOff val="25000"/>
                  </a:schemeClr>
                </a:fgClr>
                <a:bgClr>
                  <a:schemeClr val="dk1">
                    <a:lumMod val="65000"/>
                    <a:lumOff val="35000"/>
                  </a:scheme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leaderLines>
              <c:spPr>
                <a:ln w="9525">
                  <a:solidFill>
                    <a:schemeClr val="dk1">
                      <a:lumMod val="50000"/>
                      <a:lumOff val="50000"/>
                    </a:schemeClr>
                  </a:solidFill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Sheet1!$A$2:$P$3</c15:sqref>
                  </c15:fullRef>
                  <c15:levelRef>
                    <c15:sqref>Sheet1!$A$3:$P$3</c15:sqref>
                  </c15:levelRef>
                </c:ext>
              </c:extLst>
              <c:f>Sheet1!$A$3:$P$3</c:f>
              <c:strCache>
                <c:ptCount val="16"/>
                <c:pt idx="0">
                  <c:v>Emp- ID</c:v>
                </c:pt>
                <c:pt idx="1">
                  <c:v>Emp-Name</c:v>
                </c:pt>
                <c:pt idx="2">
                  <c:v>Designation</c:v>
                </c:pt>
                <c:pt idx="3">
                  <c:v>Basic Salary</c:v>
                </c:pt>
                <c:pt idx="4">
                  <c:v>Attendance</c:v>
                </c:pt>
                <c:pt idx="5">
                  <c:v>Salary</c:v>
                </c:pt>
                <c:pt idx="6">
                  <c:v>H.R.A</c:v>
                </c:pt>
                <c:pt idx="7">
                  <c:v>D.A</c:v>
                </c:pt>
                <c:pt idx="8">
                  <c:v>Convenyance</c:v>
                </c:pt>
                <c:pt idx="9">
                  <c:v>OT in Hrs</c:v>
                </c:pt>
                <c:pt idx="10">
                  <c:v>OT Salary</c:v>
                </c:pt>
                <c:pt idx="11">
                  <c:v>Gross Salary</c:v>
                </c:pt>
                <c:pt idx="12">
                  <c:v>P.F.</c:v>
                </c:pt>
                <c:pt idx="13">
                  <c:v>ESI</c:v>
                </c:pt>
                <c:pt idx="14">
                  <c:v>In Hand Salary</c:v>
                </c:pt>
                <c:pt idx="15">
                  <c:v>Status</c:v>
                </c:pt>
              </c:strCache>
            </c:strRef>
          </c:cat>
          <c:val>
            <c:numRef>
              <c:f>Sheet1!$A$17:$P$17</c:f>
              <c:numCache>
                <c:formatCode>General</c:formatCode>
                <c:ptCount val="16"/>
                <c:pt idx="0">
                  <c:v>1014</c:v>
                </c:pt>
                <c:pt idx="1">
                  <c:v>0</c:v>
                </c:pt>
                <c:pt idx="2">
                  <c:v>0</c:v>
                </c:pt>
                <c:pt idx="3">
                  <c:v>35000</c:v>
                </c:pt>
                <c:pt idx="4" formatCode="#\ &quot; Days &quot;">
                  <c:v>24</c:v>
                </c:pt>
                <c:pt idx="5" formatCode="_(* #,##0_);_(* \(#,##0\);_(* &quot;-&quot;??_);_(@_)">
                  <c:v>28000</c:v>
                </c:pt>
                <c:pt idx="6" formatCode="_(* #,##0_);_(* \(#,##0\);_(* &quot;-&quot;??_);_(@_)">
                  <c:v>4200</c:v>
                </c:pt>
                <c:pt idx="7" formatCode="_(* #,##0_);_(* \(#,##0\);_(* &quot;-&quot;??_);_(@_)">
                  <c:v>2800</c:v>
                </c:pt>
                <c:pt idx="8" formatCode="_(* #,##0_);_(* \(#,##0\);_(* &quot;-&quot;??_);_(@_)">
                  <c:v>3000</c:v>
                </c:pt>
                <c:pt idx="9" formatCode="#\ &quot; Hrs &quot;">
                  <c:v>65</c:v>
                </c:pt>
                <c:pt idx="10" formatCode="_(* #,##0.00_);_(* \(#,##0.00\);_(* &quot;-&quot;??_);_(@_)">
                  <c:v>9479.1666666666679</c:v>
                </c:pt>
                <c:pt idx="11" formatCode="_(* #,##0_);_(* \(#,##0\);_(* &quot;-&quot;??_);_(@_)">
                  <c:v>47479.166666666672</c:v>
                </c:pt>
                <c:pt idx="12" formatCode="_(* #,##0_);_(* \(#,##0\);_(* &quot;-&quot;??_);_(@_)">
                  <c:v>4200</c:v>
                </c:pt>
                <c:pt idx="13" formatCode="_(* #,##0.00_);_(* \(#,##0.00\);_(* &quot;-&quot;??_);_(@_)">
                  <c:v>356.09375</c:v>
                </c:pt>
                <c:pt idx="14" formatCode="_(* #,##0_);_(* \(#,##0\);_(* &quot;-&quot;??_);_(@_)">
                  <c:v>42923.072916666672</c:v>
                </c:pt>
                <c:pt idx="1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026A-4DD9-948E-1C46A169D7F9}"/>
            </c:ext>
          </c:extLst>
        </c:ser>
        <c:dLbls>
          <c:dLblPos val="ctr"/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r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[fabiha final project.xlsx]Sheet2!PivotTable3</c:name>
    <c:fmtId val="34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Sheet2!$B$7</c:f>
              <c:strCache>
                <c:ptCount val="1"/>
                <c:pt idx="0">
                  <c:v>Sum of Basic Salary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multiLvlStrRef>
              <c:f>Sheet2!$A$8:$A$50</c:f>
              <c:multiLvlStrCache>
                <c:ptCount val="14"/>
                <c:lvl>
                  <c:pt idx="0">
                    <c:v>1001</c:v>
                  </c:pt>
                  <c:pt idx="1">
                    <c:v>1011</c:v>
                  </c:pt>
                  <c:pt idx="2">
                    <c:v>1007</c:v>
                  </c:pt>
                  <c:pt idx="3">
                    <c:v>1014</c:v>
                  </c:pt>
                  <c:pt idx="4">
                    <c:v>1009</c:v>
                  </c:pt>
                  <c:pt idx="5">
                    <c:v>1002</c:v>
                  </c:pt>
                  <c:pt idx="6">
                    <c:v>1003</c:v>
                  </c:pt>
                  <c:pt idx="7">
                    <c:v>1008</c:v>
                  </c:pt>
                  <c:pt idx="8">
                    <c:v>1012</c:v>
                  </c:pt>
                  <c:pt idx="9">
                    <c:v>1010</c:v>
                  </c:pt>
                  <c:pt idx="10">
                    <c:v>1013</c:v>
                  </c:pt>
                  <c:pt idx="11">
                    <c:v>1006</c:v>
                  </c:pt>
                  <c:pt idx="12">
                    <c:v>1005</c:v>
                  </c:pt>
                  <c:pt idx="13">
                    <c:v>1004</c:v>
                  </c:pt>
                </c:lvl>
                <c:lvl>
                  <c:pt idx="0">
                    <c:v>Manager</c:v>
                  </c:pt>
                  <c:pt idx="1">
                    <c:v>Accountant</c:v>
                  </c:pt>
                  <c:pt idx="2">
                    <c:v>Receptionist</c:v>
                  </c:pt>
                  <c:pt idx="3">
                    <c:v>Helper</c:v>
                  </c:pt>
                  <c:pt idx="4">
                    <c:v>Helper</c:v>
                  </c:pt>
                  <c:pt idx="5">
                    <c:v>Asst. Manager</c:v>
                  </c:pt>
                  <c:pt idx="6">
                    <c:v>Supervisor</c:v>
                  </c:pt>
                  <c:pt idx="7">
                    <c:v>Staff</c:v>
                  </c:pt>
                  <c:pt idx="8">
                    <c:v>Helper</c:v>
                  </c:pt>
                  <c:pt idx="9">
                    <c:v>Staff</c:v>
                  </c:pt>
                  <c:pt idx="10">
                    <c:v>Helper</c:v>
                  </c:pt>
                  <c:pt idx="11">
                    <c:v>Staff</c:v>
                  </c:pt>
                  <c:pt idx="12">
                    <c:v>Sales Staff</c:v>
                  </c:pt>
                  <c:pt idx="13">
                    <c:v>Off. Assistant</c:v>
                  </c:pt>
                </c:lvl>
                <c:lvl>
                  <c:pt idx="0">
                    <c:v>Aira</c:v>
                  </c:pt>
                  <c:pt idx="1">
                    <c:v>Ali</c:v>
                  </c:pt>
                  <c:pt idx="2">
                    <c:v>Amaira</c:v>
                  </c:pt>
                  <c:pt idx="3">
                    <c:v>Anaviya</c:v>
                  </c:pt>
                  <c:pt idx="4">
                    <c:v>Ayesha</c:v>
                  </c:pt>
                  <c:pt idx="5">
                    <c:v>Fatima</c:v>
                  </c:pt>
                  <c:pt idx="6">
                    <c:v>Habiba</c:v>
                  </c:pt>
                  <c:pt idx="7">
                    <c:v>Halima</c:v>
                  </c:pt>
                  <c:pt idx="8">
                    <c:v>Hussan</c:v>
                  </c:pt>
                  <c:pt idx="9">
                    <c:v>Nisma</c:v>
                  </c:pt>
                  <c:pt idx="10">
                    <c:v>Rayan</c:v>
                  </c:pt>
                  <c:pt idx="11">
                    <c:v>Shaheer</c:v>
                  </c:pt>
                  <c:pt idx="12">
                    <c:v>Sharjeel</c:v>
                  </c:pt>
                  <c:pt idx="13">
                    <c:v>Umama</c:v>
                  </c:pt>
                </c:lvl>
              </c:multiLvlStrCache>
            </c:multiLvlStrRef>
          </c:cat>
          <c:val>
            <c:numRef>
              <c:f>Sheet2!$B$8:$B$50</c:f>
              <c:numCache>
                <c:formatCode>General</c:formatCode>
                <c:ptCount val="14"/>
                <c:pt idx="0">
                  <c:v>50000</c:v>
                </c:pt>
                <c:pt idx="1">
                  <c:v>40000</c:v>
                </c:pt>
                <c:pt idx="2">
                  <c:v>26000</c:v>
                </c:pt>
                <c:pt idx="3">
                  <c:v>35000</c:v>
                </c:pt>
                <c:pt idx="4">
                  <c:v>35000</c:v>
                </c:pt>
                <c:pt idx="5">
                  <c:v>40000</c:v>
                </c:pt>
                <c:pt idx="6">
                  <c:v>32000</c:v>
                </c:pt>
                <c:pt idx="7">
                  <c:v>18000</c:v>
                </c:pt>
                <c:pt idx="8">
                  <c:v>35000</c:v>
                </c:pt>
                <c:pt idx="9">
                  <c:v>30000</c:v>
                </c:pt>
                <c:pt idx="10">
                  <c:v>35000</c:v>
                </c:pt>
                <c:pt idx="11">
                  <c:v>30000</c:v>
                </c:pt>
                <c:pt idx="12">
                  <c:v>37000</c:v>
                </c:pt>
                <c:pt idx="13">
                  <c:v>45000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FC-43CC-A617-11367231D8BC}"/>
            </c:ext>
          </c:extLst>
        </c:ser>
        <c:ser>
          <c:idx val="1"/>
          <c:order val="1"/>
          <c:tx>
            <c:strRef>
              <c:f>Sheet2!$C$7</c:f>
              <c:strCache>
                <c:ptCount val="1"/>
                <c:pt idx="0">
                  <c:v>Sum of In Hand Salary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multiLvlStrRef>
              <c:f>Sheet2!$A$8:$A$50</c:f>
              <c:multiLvlStrCache>
                <c:ptCount val="14"/>
                <c:lvl>
                  <c:pt idx="0">
                    <c:v>1001</c:v>
                  </c:pt>
                  <c:pt idx="1">
                    <c:v>1011</c:v>
                  </c:pt>
                  <c:pt idx="2">
                    <c:v>1007</c:v>
                  </c:pt>
                  <c:pt idx="3">
                    <c:v>1014</c:v>
                  </c:pt>
                  <c:pt idx="4">
                    <c:v>1009</c:v>
                  </c:pt>
                  <c:pt idx="5">
                    <c:v>1002</c:v>
                  </c:pt>
                  <c:pt idx="6">
                    <c:v>1003</c:v>
                  </c:pt>
                  <c:pt idx="7">
                    <c:v>1008</c:v>
                  </c:pt>
                  <c:pt idx="8">
                    <c:v>1012</c:v>
                  </c:pt>
                  <c:pt idx="9">
                    <c:v>1010</c:v>
                  </c:pt>
                  <c:pt idx="10">
                    <c:v>1013</c:v>
                  </c:pt>
                  <c:pt idx="11">
                    <c:v>1006</c:v>
                  </c:pt>
                  <c:pt idx="12">
                    <c:v>1005</c:v>
                  </c:pt>
                  <c:pt idx="13">
                    <c:v>1004</c:v>
                  </c:pt>
                </c:lvl>
                <c:lvl>
                  <c:pt idx="0">
                    <c:v>Manager</c:v>
                  </c:pt>
                  <c:pt idx="1">
                    <c:v>Accountant</c:v>
                  </c:pt>
                  <c:pt idx="2">
                    <c:v>Receptionist</c:v>
                  </c:pt>
                  <c:pt idx="3">
                    <c:v>Helper</c:v>
                  </c:pt>
                  <c:pt idx="4">
                    <c:v>Helper</c:v>
                  </c:pt>
                  <c:pt idx="5">
                    <c:v>Asst. Manager</c:v>
                  </c:pt>
                  <c:pt idx="6">
                    <c:v>Supervisor</c:v>
                  </c:pt>
                  <c:pt idx="7">
                    <c:v>Staff</c:v>
                  </c:pt>
                  <c:pt idx="8">
                    <c:v>Helper</c:v>
                  </c:pt>
                  <c:pt idx="9">
                    <c:v>Staff</c:v>
                  </c:pt>
                  <c:pt idx="10">
                    <c:v>Helper</c:v>
                  </c:pt>
                  <c:pt idx="11">
                    <c:v>Staff</c:v>
                  </c:pt>
                  <c:pt idx="12">
                    <c:v>Sales Staff</c:v>
                  </c:pt>
                  <c:pt idx="13">
                    <c:v>Off. Assistant</c:v>
                  </c:pt>
                </c:lvl>
                <c:lvl>
                  <c:pt idx="0">
                    <c:v>Aira</c:v>
                  </c:pt>
                  <c:pt idx="1">
                    <c:v>Ali</c:v>
                  </c:pt>
                  <c:pt idx="2">
                    <c:v>Amaira</c:v>
                  </c:pt>
                  <c:pt idx="3">
                    <c:v>Anaviya</c:v>
                  </c:pt>
                  <c:pt idx="4">
                    <c:v>Ayesha</c:v>
                  </c:pt>
                  <c:pt idx="5">
                    <c:v>Fatima</c:v>
                  </c:pt>
                  <c:pt idx="6">
                    <c:v>Habiba</c:v>
                  </c:pt>
                  <c:pt idx="7">
                    <c:v>Halima</c:v>
                  </c:pt>
                  <c:pt idx="8">
                    <c:v>Hussan</c:v>
                  </c:pt>
                  <c:pt idx="9">
                    <c:v>Nisma</c:v>
                  </c:pt>
                  <c:pt idx="10">
                    <c:v>Rayan</c:v>
                  </c:pt>
                  <c:pt idx="11">
                    <c:v>Shaheer</c:v>
                  </c:pt>
                  <c:pt idx="12">
                    <c:v>Sharjeel</c:v>
                  </c:pt>
                  <c:pt idx="13">
                    <c:v>Umama</c:v>
                  </c:pt>
                </c:lvl>
              </c:multiLvlStrCache>
            </c:multiLvlStrRef>
          </c:cat>
          <c:val>
            <c:numRef>
              <c:f>Sheet2!$C$8:$C$50</c:f>
              <c:numCache>
                <c:formatCode>_(* #,##0_);_(* \(#,##0\);_(* "-"??_);_(@_)</c:formatCode>
                <c:ptCount val="14"/>
                <c:pt idx="0">
                  <c:v>61076.458333333343</c:v>
                </c:pt>
                <c:pt idx="1">
                  <c:v>54419.166666666664</c:v>
                </c:pt>
                <c:pt idx="2">
                  <c:v>35231.854166666664</c:v>
                </c:pt>
                <c:pt idx="3">
                  <c:v>42923.072916666672</c:v>
                </c:pt>
                <c:pt idx="4">
                  <c:v>45817.864583333336</c:v>
                </c:pt>
                <c:pt idx="5">
                  <c:v>50614.583333333328</c:v>
                </c:pt>
                <c:pt idx="6">
                  <c:v>42013.5</c:v>
                </c:pt>
                <c:pt idx="7">
                  <c:v>22553.25</c:v>
                </c:pt>
                <c:pt idx="8">
                  <c:v>45528.385416666672</c:v>
                </c:pt>
                <c:pt idx="9">
                  <c:v>41434.6875</c:v>
                </c:pt>
                <c:pt idx="10">
                  <c:v>50160.052083333336</c:v>
                </c:pt>
                <c:pt idx="11">
                  <c:v>37836.875</c:v>
                </c:pt>
                <c:pt idx="12">
                  <c:v>41380.416666666664</c:v>
                </c:pt>
                <c:pt idx="13">
                  <c:v>56569.21875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FC-43CC-A617-11367231D8B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80515951"/>
        <c:axId val="580501071"/>
      </c:barChart>
      <c:catAx>
        <c:axId val="58051595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01071"/>
        <c:crosses val="autoZero"/>
        <c:auto val="1"/>
        <c:lblAlgn val="ctr"/>
        <c:lblOffset val="100"/>
        <c:noMultiLvlLbl val="0"/>
      </c:catAx>
      <c:valAx>
        <c:axId val="580501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05159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459540</xdr:colOff>
      <xdr:row>18</xdr:row>
      <xdr:rowOff>0</xdr:rowOff>
    </xdr:from>
    <xdr:to>
      <xdr:col>16</xdr:col>
      <xdr:colOff>94729</xdr:colOff>
      <xdr:row>31</xdr:row>
      <xdr:rowOff>167105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1CC83B6-BF89-9AC8-9BD0-74972F9405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43764</xdr:colOff>
      <xdr:row>6</xdr:row>
      <xdr:rowOff>5664</xdr:rowOff>
    </xdr:from>
    <xdr:to>
      <xdr:col>9</xdr:col>
      <xdr:colOff>625561</xdr:colOff>
      <xdr:row>21</xdr:row>
      <xdr:rowOff>45823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3FD5FDC2-83F1-2901-FACA-183323A1BA6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ASNI" refreshedDate="46052.447544444447" createdVersion="8" refreshedVersion="8" minRefreshableVersion="3" recordCount="14" xr:uid="{A499A869-9A87-4CC5-BEF2-3577EAA8A0BD}">
  <cacheSource type="worksheet">
    <worksheetSource ref="A3:P17" sheet="Sheet1"/>
  </cacheSource>
  <cacheFields count="16">
    <cacheField name="Emp- ID" numFmtId="0">
      <sharedItems containsSemiMixedTypes="0" containsString="0" containsNumber="1" containsInteger="1" minValue="1001" maxValue="1014" count="14">
        <n v="1001"/>
        <n v="1002"/>
        <n v="1003"/>
        <n v="1004"/>
        <n v="1005"/>
        <n v="1006"/>
        <n v="1007"/>
        <n v="1008"/>
        <n v="1009"/>
        <n v="1010"/>
        <n v="1011"/>
        <n v="1012"/>
        <n v="1013"/>
        <n v="1014"/>
      </sharedItems>
    </cacheField>
    <cacheField name="Emp-Name" numFmtId="0">
      <sharedItems count="14">
        <s v="Aira"/>
        <s v="Fatima"/>
        <s v="Habiba"/>
        <s v="Umama"/>
        <s v="Sharjeel"/>
        <s v="Shaheer"/>
        <s v="Amaira"/>
        <s v="Halima"/>
        <s v="Ayesha"/>
        <s v="Nisma"/>
        <s v="Ali"/>
        <s v="Hussan"/>
        <s v="Rayan"/>
        <s v="Anaviya"/>
      </sharedItems>
    </cacheField>
    <cacheField name="Designation" numFmtId="0">
      <sharedItems count="9">
        <s v="Manager"/>
        <s v="Asst. Manager"/>
        <s v="Supervisor"/>
        <s v="Off. Assistant"/>
        <s v="Sales Staff"/>
        <s v="Staff"/>
        <s v="Receptionist"/>
        <s v="Helper"/>
        <s v="Accountant"/>
      </sharedItems>
    </cacheField>
    <cacheField name="Basic Salary" numFmtId="0">
      <sharedItems containsSemiMixedTypes="0" containsString="0" containsNumber="1" containsInteger="1" minValue="18000" maxValue="50000"/>
    </cacheField>
    <cacheField name="Attendance" numFmtId="166">
      <sharedItems containsSemiMixedTypes="0" containsString="0" containsNumber="1" containsInteger="1" minValue="24" maxValue="30"/>
    </cacheField>
    <cacheField name="Salary" numFmtId="164">
      <sharedItems containsSemiMixedTypes="0" containsString="0" containsNumber="1" minValue="15600" maxValue="46666.666666666672"/>
    </cacheField>
    <cacheField name="H.R.A" numFmtId="164">
      <sharedItems containsSemiMixedTypes="0" containsString="0" containsNumber="1" containsInteger="1" minValue="2160" maxValue="6000" count="9">
        <n v="6000"/>
        <n v="4800"/>
        <n v="3840"/>
        <n v="5400"/>
        <n v="4440"/>
        <n v="3600"/>
        <n v="3120"/>
        <n v="2160"/>
        <n v="4200"/>
      </sharedItems>
    </cacheField>
    <cacheField name="D.A" numFmtId="164">
      <sharedItems containsSemiMixedTypes="0" containsString="0" containsNumber="1" containsInteger="1" minValue="1440" maxValue="4000" count="9">
        <n v="4000"/>
        <n v="3200"/>
        <n v="2560"/>
        <n v="3600"/>
        <n v="2960"/>
        <n v="2400"/>
        <n v="2080"/>
        <n v="1440"/>
        <n v="2800"/>
      </sharedItems>
    </cacheField>
    <cacheField name="Convenyance" numFmtId="164">
      <sharedItems containsSemiMixedTypes="0" containsString="0" containsNumber="1" containsInteger="1" minValue="3000" maxValue="3000"/>
    </cacheField>
    <cacheField name="OT in Hrs" numFmtId="165">
      <sharedItems containsSemiMixedTypes="0" containsString="0" containsNumber="1" containsInteger="1" minValue="36" maxValue="67"/>
    </cacheField>
    <cacheField name="OT Salary" numFmtId="43">
      <sharedItems containsSemiMixedTypes="0" containsString="0" containsNumber="1" minValue="2700" maxValue="10166.666666666666" count="14">
        <n v="7916.666666666667"/>
        <n v="10166.666666666666"/>
        <n v="4800"/>
        <n v="8437.5"/>
        <n v="6166.6666666666661"/>
        <n v="7750"/>
        <n v="5308.333333333333"/>
        <n v="2700"/>
        <n v="6562.5"/>
        <n v="6375"/>
        <n v="8666.6666666666661"/>
        <n v="7437.5000000000009"/>
        <n v="9770.8333333333339"/>
        <n v="9479.1666666666679"/>
      </sharedItems>
    </cacheField>
    <cacheField name="Gross Salary" numFmtId="164">
      <sharedItems containsSemiMixedTypes="0" containsString="0" containsNumber="1" minValue="24900" maxValue="67583.333333333343" count="14">
        <n v="67583.333333333343"/>
        <n v="55833.333333333328"/>
        <n v="46200"/>
        <n v="62437.5"/>
        <n v="46166.666666666664"/>
        <n v="41750"/>
        <n v="38641.666666666664"/>
        <n v="24900"/>
        <n v="50395.833333333336"/>
        <n v="45375"/>
        <n v="59666.666666666664"/>
        <n v="50104.166666666672"/>
        <n v="54770.833333333336"/>
        <n v="47479.166666666672"/>
      </sharedItems>
    </cacheField>
    <cacheField name="P.F." numFmtId="164">
      <sharedItems containsSemiMixedTypes="0" containsString="0" containsNumber="1" containsInteger="1" minValue="2160" maxValue="6000" count="9">
        <n v="6000"/>
        <n v="4800"/>
        <n v="3840"/>
        <n v="5400"/>
        <n v="4440"/>
        <n v="3600"/>
        <n v="3120"/>
        <n v="2160"/>
        <n v="4200"/>
      </sharedItems>
    </cacheField>
    <cacheField name="ESI" numFmtId="43">
      <sharedItems containsSemiMixedTypes="0" containsString="0" containsNumber="1" minValue="186.75" maxValue="506.87500000000006"/>
    </cacheField>
    <cacheField name="In Hand Salary" numFmtId="164">
      <sharedItems containsSemiMixedTypes="0" containsString="0" containsNumber="1" minValue="22553.25" maxValue="61076.458333333343"/>
    </cacheField>
    <cacheField name="Status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4">
  <r>
    <x v="0"/>
    <x v="0"/>
    <x v="0"/>
    <n v="50000"/>
    <n v="28"/>
    <n v="46666.666666666672"/>
    <x v="0"/>
    <x v="0"/>
    <n v="3000"/>
    <n v="38"/>
    <x v="0"/>
    <x v="0"/>
    <x v="0"/>
    <n v="506.87500000000006"/>
    <n v="61076.458333333343"/>
    <s v="High Salary"/>
  </r>
  <r>
    <x v="1"/>
    <x v="1"/>
    <x v="1"/>
    <n v="40000"/>
    <n v="26"/>
    <n v="34666.666666666664"/>
    <x v="1"/>
    <x v="1"/>
    <n v="3000"/>
    <n v="61"/>
    <x v="1"/>
    <x v="1"/>
    <x v="1"/>
    <n v="418.74999999999994"/>
    <n v="50614.583333333328"/>
    <s v="High Salary"/>
  </r>
  <r>
    <x v="2"/>
    <x v="2"/>
    <x v="2"/>
    <n v="32000"/>
    <n v="30"/>
    <n v="32000.000000000004"/>
    <x v="2"/>
    <x v="2"/>
    <n v="3000"/>
    <n v="36"/>
    <x v="2"/>
    <x v="2"/>
    <x v="2"/>
    <n v="346.5"/>
    <n v="42013.5"/>
    <s v="High Salary"/>
  </r>
  <r>
    <x v="3"/>
    <x v="3"/>
    <x v="3"/>
    <n v="45000"/>
    <n v="28"/>
    <n v="42000"/>
    <x v="3"/>
    <x v="3"/>
    <n v="3000"/>
    <n v="45"/>
    <x v="3"/>
    <x v="3"/>
    <x v="3"/>
    <n v="468.28125"/>
    <n v="56569.21875"/>
    <s v="High Salary"/>
  </r>
  <r>
    <x v="4"/>
    <x v="4"/>
    <x v="4"/>
    <n v="37000"/>
    <n v="24"/>
    <n v="29600"/>
    <x v="4"/>
    <x v="4"/>
    <n v="3000"/>
    <n v="40"/>
    <x v="4"/>
    <x v="4"/>
    <x v="4"/>
    <n v="346.24999999999994"/>
    <n v="41380.416666666664"/>
    <s v="High Salary"/>
  </r>
  <r>
    <x v="5"/>
    <x v="5"/>
    <x v="5"/>
    <n v="30000"/>
    <n v="25"/>
    <n v="25000"/>
    <x v="5"/>
    <x v="5"/>
    <n v="3000"/>
    <n v="62"/>
    <x v="5"/>
    <x v="5"/>
    <x v="5"/>
    <n v="313.125"/>
    <n v="37836.875"/>
    <s v="Low Salary"/>
  </r>
  <r>
    <x v="6"/>
    <x v="6"/>
    <x v="6"/>
    <n v="26000"/>
    <n v="29"/>
    <n v="25133.333333333332"/>
    <x v="6"/>
    <x v="6"/>
    <n v="3000"/>
    <n v="49"/>
    <x v="6"/>
    <x v="6"/>
    <x v="6"/>
    <n v="289.81249999999994"/>
    <n v="35231.854166666664"/>
    <s v="Low Salary"/>
  </r>
  <r>
    <x v="7"/>
    <x v="7"/>
    <x v="5"/>
    <n v="18000"/>
    <n v="26"/>
    <n v="15600"/>
    <x v="7"/>
    <x v="7"/>
    <n v="3000"/>
    <n v="36"/>
    <x v="7"/>
    <x v="7"/>
    <x v="7"/>
    <n v="186.75"/>
    <n v="22553.25"/>
    <s v="Low Salary"/>
  </r>
  <r>
    <x v="8"/>
    <x v="8"/>
    <x v="7"/>
    <n v="35000"/>
    <n v="29"/>
    <n v="33833.333333333336"/>
    <x v="8"/>
    <x v="8"/>
    <n v="3000"/>
    <n v="45"/>
    <x v="8"/>
    <x v="8"/>
    <x v="8"/>
    <n v="377.96875"/>
    <n v="45817.864583333336"/>
    <s v="High Salary"/>
  </r>
  <r>
    <x v="9"/>
    <x v="9"/>
    <x v="5"/>
    <n v="30000"/>
    <n v="30"/>
    <n v="30000"/>
    <x v="5"/>
    <x v="5"/>
    <n v="3000"/>
    <n v="51"/>
    <x v="9"/>
    <x v="9"/>
    <x v="5"/>
    <n v="340.3125"/>
    <n v="41434.6875"/>
    <s v="High Salary"/>
  </r>
  <r>
    <x v="10"/>
    <x v="10"/>
    <x v="8"/>
    <n v="40000"/>
    <n v="30"/>
    <n v="40000"/>
    <x v="1"/>
    <x v="1"/>
    <n v="3000"/>
    <n v="52"/>
    <x v="10"/>
    <x v="10"/>
    <x v="1"/>
    <n v="447.49999999999994"/>
    <n v="54419.166666666664"/>
    <s v="High Salary"/>
  </r>
  <r>
    <x v="11"/>
    <x v="11"/>
    <x v="7"/>
    <n v="35000"/>
    <n v="28"/>
    <n v="32666.666666666668"/>
    <x v="8"/>
    <x v="8"/>
    <n v="3000"/>
    <n v="51"/>
    <x v="11"/>
    <x v="11"/>
    <x v="8"/>
    <n v="375.78125"/>
    <n v="45528.385416666672"/>
    <s v="High Salary"/>
  </r>
  <r>
    <x v="12"/>
    <x v="12"/>
    <x v="7"/>
    <n v="35000"/>
    <n v="30"/>
    <n v="35000"/>
    <x v="8"/>
    <x v="8"/>
    <n v="3000"/>
    <n v="67"/>
    <x v="12"/>
    <x v="12"/>
    <x v="8"/>
    <n v="410.78125"/>
    <n v="50160.052083333336"/>
    <s v="High Salary"/>
  </r>
  <r>
    <x v="13"/>
    <x v="13"/>
    <x v="7"/>
    <n v="35000"/>
    <n v="24"/>
    <n v="28000"/>
    <x v="8"/>
    <x v="8"/>
    <n v="3000"/>
    <n v="65"/>
    <x v="13"/>
    <x v="13"/>
    <x v="8"/>
    <n v="356.09375"/>
    <n v="42923.072916666672"/>
    <s v="High Salary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A8D5139-4EF1-4ED4-8DD5-D9BAD79CA1C9}" name="PivotTable3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35">
  <location ref="A7:C50" firstHeaderRow="0" firstDataRow="1" firstDataCol="1" rowPageCount="5" colPageCount="1"/>
  <pivotFields count="16">
    <pivotField axis="axisRow" showAll="0">
      <items count="1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t="default"/>
      </items>
    </pivotField>
    <pivotField axis="axisRow" showAll="0">
      <items count="15">
        <item x="0"/>
        <item x="10"/>
        <item x="6"/>
        <item x="13"/>
        <item x="8"/>
        <item x="1"/>
        <item x="2"/>
        <item x="7"/>
        <item x="11"/>
        <item x="9"/>
        <item x="12"/>
        <item x="5"/>
        <item x="4"/>
        <item x="3"/>
        <item t="default"/>
      </items>
    </pivotField>
    <pivotField axis="axisRow" showAll="0">
      <items count="10">
        <item x="8"/>
        <item x="1"/>
        <item x="7"/>
        <item x="0"/>
        <item x="3"/>
        <item x="6"/>
        <item x="4"/>
        <item x="5"/>
        <item x="2"/>
        <item t="default"/>
      </items>
    </pivotField>
    <pivotField dataField="1" showAll="0"/>
    <pivotField numFmtId="166" showAll="0"/>
    <pivotField numFmtId="164" showAll="0"/>
    <pivotField axis="axisPage" numFmtId="164" showAll="0">
      <items count="10">
        <item x="7"/>
        <item x="6"/>
        <item x="5"/>
        <item x="2"/>
        <item x="8"/>
        <item x="4"/>
        <item x="1"/>
        <item x="3"/>
        <item x="0"/>
        <item t="default"/>
      </items>
    </pivotField>
    <pivotField axis="axisPage" numFmtId="164" showAll="0">
      <items count="10">
        <item x="7"/>
        <item x="6"/>
        <item x="5"/>
        <item x="2"/>
        <item x="8"/>
        <item x="4"/>
        <item x="1"/>
        <item x="3"/>
        <item x="0"/>
        <item t="default"/>
      </items>
    </pivotField>
    <pivotField numFmtId="164" showAll="0"/>
    <pivotField numFmtId="165" showAll="0"/>
    <pivotField axis="axisPage" numFmtId="43" showAll="0">
      <items count="15">
        <item x="7"/>
        <item x="2"/>
        <item x="6"/>
        <item x="4"/>
        <item x="9"/>
        <item x="8"/>
        <item x="11"/>
        <item x="5"/>
        <item x="0"/>
        <item x="3"/>
        <item x="10"/>
        <item x="13"/>
        <item x="12"/>
        <item x="1"/>
        <item t="default"/>
      </items>
    </pivotField>
    <pivotField axis="axisPage" numFmtId="164" showAll="0">
      <items count="15">
        <item x="7"/>
        <item x="6"/>
        <item x="5"/>
        <item x="9"/>
        <item x="4"/>
        <item x="2"/>
        <item x="13"/>
        <item x="11"/>
        <item x="8"/>
        <item x="12"/>
        <item x="1"/>
        <item x="10"/>
        <item x="3"/>
        <item x="0"/>
        <item t="default"/>
      </items>
    </pivotField>
    <pivotField axis="axisPage" numFmtId="164" showAll="0">
      <items count="10">
        <item x="7"/>
        <item x="6"/>
        <item x="5"/>
        <item x="2"/>
        <item x="8"/>
        <item x="4"/>
        <item x="1"/>
        <item x="3"/>
        <item x="0"/>
        <item t="default"/>
      </items>
    </pivotField>
    <pivotField numFmtId="43" showAll="0"/>
    <pivotField dataField="1" numFmtId="164" showAll="0"/>
    <pivotField showAll="0"/>
  </pivotFields>
  <rowFields count="3">
    <field x="1"/>
    <field x="2"/>
    <field x="0"/>
  </rowFields>
  <rowItems count="43">
    <i>
      <x/>
    </i>
    <i r="1">
      <x v="3"/>
    </i>
    <i r="2">
      <x/>
    </i>
    <i>
      <x v="1"/>
    </i>
    <i r="1">
      <x/>
    </i>
    <i r="2">
      <x v="10"/>
    </i>
    <i>
      <x v="2"/>
    </i>
    <i r="1">
      <x v="5"/>
    </i>
    <i r="2">
      <x v="6"/>
    </i>
    <i>
      <x v="3"/>
    </i>
    <i r="1">
      <x v="2"/>
    </i>
    <i r="2">
      <x v="13"/>
    </i>
    <i>
      <x v="4"/>
    </i>
    <i r="1">
      <x v="2"/>
    </i>
    <i r="2">
      <x v="8"/>
    </i>
    <i>
      <x v="5"/>
    </i>
    <i r="1">
      <x v="1"/>
    </i>
    <i r="2">
      <x v="1"/>
    </i>
    <i>
      <x v="6"/>
    </i>
    <i r="1">
      <x v="8"/>
    </i>
    <i r="2">
      <x v="2"/>
    </i>
    <i>
      <x v="7"/>
    </i>
    <i r="1">
      <x v="7"/>
    </i>
    <i r="2">
      <x v="7"/>
    </i>
    <i>
      <x v="8"/>
    </i>
    <i r="1">
      <x v="2"/>
    </i>
    <i r="2">
      <x v="11"/>
    </i>
    <i>
      <x v="9"/>
    </i>
    <i r="1">
      <x v="7"/>
    </i>
    <i r="2">
      <x v="9"/>
    </i>
    <i>
      <x v="10"/>
    </i>
    <i r="1">
      <x v="2"/>
    </i>
    <i r="2">
      <x v="12"/>
    </i>
    <i>
      <x v="11"/>
    </i>
    <i r="1">
      <x v="7"/>
    </i>
    <i r="2">
      <x v="5"/>
    </i>
    <i>
      <x v="12"/>
    </i>
    <i r="1">
      <x v="6"/>
    </i>
    <i r="2">
      <x v="4"/>
    </i>
    <i>
      <x v="13"/>
    </i>
    <i r="1">
      <x v="4"/>
    </i>
    <i r="2">
      <x v="3"/>
    </i>
    <i t="grand">
      <x/>
    </i>
  </rowItems>
  <colFields count="1">
    <field x="-2"/>
  </colFields>
  <colItems count="2">
    <i>
      <x/>
    </i>
    <i i="1">
      <x v="1"/>
    </i>
  </colItems>
  <pageFields count="5">
    <pageField fld="10" hier="-1"/>
    <pageField fld="12" hier="-1"/>
    <pageField fld="11" hier="-1"/>
    <pageField fld="6" hier="-1"/>
    <pageField fld="7" hier="-1"/>
  </pageFields>
  <dataFields count="2">
    <dataField name="Sum of Basic Salary" fld="3" baseField="0" baseItem="0"/>
    <dataField name="Sum of In Hand Salary" fld="14" baseField="0" baseItem="0" numFmtId="164"/>
  </dataFields>
  <formats count="146">
    <format dxfId="163">
      <pivotArea field="1" type="button" dataOnly="0" labelOnly="1" outline="0" axis="axisRow" fieldPosition="0"/>
    </format>
    <format dxfId="162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61">
      <pivotArea field="1" type="button" dataOnly="0" labelOnly="1" outline="0" axis="axisRow" fieldPosition="0"/>
    </format>
    <format dxfId="160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9">
      <pivotArea field="1" type="button" dataOnly="0" labelOnly="1" outline="0" axis="axisRow" fieldPosition="0"/>
    </format>
    <format dxfId="158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157">
      <pivotArea dataOnly="0" labelOnly="1" fieldPosition="0">
        <references count="1">
          <reference field="1" count="0"/>
        </references>
      </pivotArea>
    </format>
    <format dxfId="156">
      <pivotArea dataOnly="0" labelOnly="1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155">
      <pivotArea dataOnly="0" labelOnly="1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154">
      <pivotArea dataOnly="0" labelOnly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153">
      <pivotArea dataOnly="0" labelOnly="1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152">
      <pivotArea dataOnly="0" labelOnly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151">
      <pivotArea dataOnly="0" labelOnly="1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150">
      <pivotArea dataOnly="0" labelOnly="1" fieldPosition="0">
        <references count="2">
          <reference field="1" count="1" selected="0">
            <x v="6"/>
          </reference>
          <reference field="2" count="1">
            <x v="8"/>
          </reference>
        </references>
      </pivotArea>
    </format>
    <format dxfId="149">
      <pivotArea dataOnly="0" labelOnly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148">
      <pivotArea dataOnly="0" labelOnly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147">
      <pivotArea dataOnly="0" labelOnly="1" fieldPosition="0">
        <references count="2">
          <reference field="1" count="1" selected="0">
            <x v="9"/>
          </reference>
          <reference field="2" count="1">
            <x v="7"/>
          </reference>
        </references>
      </pivotArea>
    </format>
    <format dxfId="146">
      <pivotArea dataOnly="0" labelOnly="1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145">
      <pivotArea dataOnly="0" labelOnly="1" fieldPosition="0">
        <references count="2">
          <reference field="1" count="1" selected="0">
            <x v="11"/>
          </reference>
          <reference field="2" count="1">
            <x v="7"/>
          </reference>
        </references>
      </pivotArea>
    </format>
    <format dxfId="144">
      <pivotArea dataOnly="0" labelOnly="1" fieldPosition="0">
        <references count="2">
          <reference field="1" count="1" selected="0">
            <x v="12"/>
          </reference>
          <reference field="2" count="1">
            <x v="6"/>
          </reference>
        </references>
      </pivotArea>
    </format>
    <format dxfId="143">
      <pivotArea dataOnly="0" labelOnly="1" fieldPosition="0">
        <references count="2">
          <reference field="1" count="1" selected="0">
            <x v="13"/>
          </reference>
          <reference field="2" count="1">
            <x v="4"/>
          </reference>
        </references>
      </pivotArea>
    </format>
    <format dxfId="142">
      <pivotArea dataOnly="0" labelOnly="1" fieldPosition="0">
        <references count="3">
          <reference field="0" count="1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format>
    <format dxfId="141">
      <pivotArea dataOnly="0" labelOnly="1" fieldPosition="0">
        <references count="3">
          <reference field="0" count="1">
            <x v="1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40">
      <pivotArea dataOnly="0" labelOnly="1" fieldPosition="0">
        <references count="3">
          <reference field="0" count="1">
            <x v="6"/>
          </reference>
          <reference field="1" count="1" selected="0">
            <x v="2"/>
          </reference>
          <reference field="2" count="1" selected="0">
            <x v="5"/>
          </reference>
        </references>
      </pivotArea>
    </format>
    <format dxfId="139">
      <pivotArea dataOnly="0" labelOnly="1" fieldPosition="0">
        <references count="3">
          <reference field="0" count="1">
            <x v="13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138">
      <pivotArea dataOnly="0" labelOnly="1" fieldPosition="0">
        <references count="3">
          <reference field="0" count="1">
            <x v="8"/>
          </reference>
          <reference field="1" count="1" selected="0">
            <x v="4"/>
          </reference>
          <reference field="2" count="1" selected="0">
            <x v="2"/>
          </reference>
        </references>
      </pivotArea>
    </format>
    <format dxfId="137">
      <pivotArea dataOnly="0" labelOnly="1" fieldPosition="0">
        <references count="3">
          <reference field="0" count="1">
            <x v="1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136">
      <pivotArea dataOnly="0" labelOnly="1" fieldPosition="0">
        <references count="3">
          <reference field="0" count="1">
            <x v="2"/>
          </reference>
          <reference field="1" count="1" selected="0">
            <x v="6"/>
          </reference>
          <reference field="2" count="1" selected="0">
            <x v="8"/>
          </reference>
        </references>
      </pivotArea>
    </format>
    <format dxfId="135">
      <pivotArea dataOnly="0" labelOnly="1" fieldPosition="0">
        <references count="3">
          <reference field="0" count="1">
            <x v="7"/>
          </reference>
          <reference field="1" count="1" selected="0">
            <x v="7"/>
          </reference>
          <reference field="2" count="1" selected="0">
            <x v="7"/>
          </reference>
        </references>
      </pivotArea>
    </format>
    <format dxfId="134">
      <pivotArea dataOnly="0" labelOnly="1" fieldPosition="0">
        <references count="3">
          <reference field="0" count="1">
            <x v="11"/>
          </reference>
          <reference field="1" count="1" selected="0">
            <x v="8"/>
          </reference>
          <reference field="2" count="1" selected="0">
            <x v="2"/>
          </reference>
        </references>
      </pivotArea>
    </format>
    <format dxfId="133">
      <pivotArea dataOnly="0" labelOnly="1" fieldPosition="0">
        <references count="3">
          <reference field="0" count="1">
            <x v="9"/>
          </reference>
          <reference field="1" count="1" selected="0">
            <x v="9"/>
          </reference>
          <reference field="2" count="1" selected="0">
            <x v="7"/>
          </reference>
        </references>
      </pivotArea>
    </format>
    <format dxfId="132">
      <pivotArea dataOnly="0" labelOnly="1" fieldPosition="0">
        <references count="3">
          <reference field="0" count="1">
            <x v="12"/>
          </reference>
          <reference field="1" count="1" selected="0">
            <x v="10"/>
          </reference>
          <reference field="2" count="1" selected="0">
            <x v="2"/>
          </reference>
        </references>
      </pivotArea>
    </format>
    <format dxfId="131">
      <pivotArea dataOnly="0" labelOnly="1" fieldPosition="0">
        <references count="3">
          <reference field="0" count="1">
            <x v="5"/>
          </reference>
          <reference field="1" count="1" selected="0">
            <x v="11"/>
          </reference>
          <reference field="2" count="1" selected="0">
            <x v="7"/>
          </reference>
        </references>
      </pivotArea>
    </format>
    <format dxfId="130">
      <pivotArea dataOnly="0" labelOnly="1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6"/>
          </reference>
        </references>
      </pivotArea>
    </format>
    <format dxfId="129">
      <pivotArea dataOnly="0" labelOnly="1" fieldPosition="0">
        <references count="3">
          <reference field="0" count="1">
            <x v="3"/>
          </reference>
          <reference field="1" count="1" selected="0">
            <x v="13"/>
          </reference>
          <reference field="2" count="1" selected="0">
            <x v="4"/>
          </reference>
        </references>
      </pivotArea>
    </format>
    <format dxfId="128">
      <pivotArea grandRow="1" outline="0" collapsedLevelsAreSubtotals="1" fieldPosition="0"/>
    </format>
    <format dxfId="127">
      <pivotArea dataOnly="0" labelOnly="1" grandRow="1" outline="0" fieldPosition="0"/>
    </format>
    <format dxfId="126">
      <pivotArea grandRow="1" outline="0" collapsedLevelsAreSubtotals="1" fieldPosition="0"/>
    </format>
    <format dxfId="125">
      <pivotArea dataOnly="0" labelOnly="1" grandRow="1" outline="0" fieldPosition="0"/>
    </format>
    <format dxfId="124">
      <pivotArea grandRow="1" outline="0" collapsedLevelsAreSubtotals="1" fieldPosition="0"/>
    </format>
    <format dxfId="123">
      <pivotArea dataOnly="0" labelOnly="1" grandRow="1" outline="0" fieldPosition="0"/>
    </format>
    <format dxfId="122">
      <pivotArea type="all" dataOnly="0" outline="0" fieldPosition="0"/>
    </format>
    <format dxfId="121">
      <pivotArea outline="0" collapsedLevelsAreSubtotals="1" fieldPosition="0"/>
    </format>
    <format dxfId="120">
      <pivotArea field="1" type="button" dataOnly="0" labelOnly="1" outline="0" axis="axisRow" fieldPosition="0"/>
    </format>
    <format dxfId="119">
      <pivotArea dataOnly="0" labelOnly="1" fieldPosition="0">
        <references count="1">
          <reference field="1" count="0"/>
        </references>
      </pivotArea>
    </format>
    <format dxfId="118">
      <pivotArea dataOnly="0" labelOnly="1" grandRow="1" outline="0" fieldPosition="0"/>
    </format>
    <format dxfId="117">
      <pivotArea dataOnly="0" labelOnly="1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116">
      <pivotArea dataOnly="0" labelOnly="1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115">
      <pivotArea dataOnly="0" labelOnly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114">
      <pivotArea dataOnly="0" labelOnly="1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113">
      <pivotArea dataOnly="0" labelOnly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112">
      <pivotArea dataOnly="0" labelOnly="1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111">
      <pivotArea dataOnly="0" labelOnly="1" fieldPosition="0">
        <references count="2">
          <reference field="1" count="1" selected="0">
            <x v="6"/>
          </reference>
          <reference field="2" count="1">
            <x v="8"/>
          </reference>
        </references>
      </pivotArea>
    </format>
    <format dxfId="110">
      <pivotArea dataOnly="0" labelOnly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109">
      <pivotArea dataOnly="0" labelOnly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108">
      <pivotArea dataOnly="0" labelOnly="1" fieldPosition="0">
        <references count="2">
          <reference field="1" count="1" selected="0">
            <x v="9"/>
          </reference>
          <reference field="2" count="1">
            <x v="7"/>
          </reference>
        </references>
      </pivotArea>
    </format>
    <format dxfId="107">
      <pivotArea dataOnly="0" labelOnly="1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106">
      <pivotArea dataOnly="0" labelOnly="1" fieldPosition="0">
        <references count="2">
          <reference field="1" count="1" selected="0">
            <x v="11"/>
          </reference>
          <reference field="2" count="1">
            <x v="7"/>
          </reference>
        </references>
      </pivotArea>
    </format>
    <format dxfId="105">
      <pivotArea dataOnly="0" labelOnly="1" fieldPosition="0">
        <references count="2">
          <reference field="1" count="1" selected="0">
            <x v="12"/>
          </reference>
          <reference field="2" count="1">
            <x v="6"/>
          </reference>
        </references>
      </pivotArea>
    </format>
    <format dxfId="104">
      <pivotArea dataOnly="0" labelOnly="1" fieldPosition="0">
        <references count="2">
          <reference field="1" count="1" selected="0">
            <x v="13"/>
          </reference>
          <reference field="2" count="1">
            <x v="4"/>
          </reference>
        </references>
      </pivotArea>
    </format>
    <format dxfId="103">
      <pivotArea dataOnly="0" labelOnly="1" fieldPosition="0">
        <references count="3">
          <reference field="0" count="1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format>
    <format dxfId="102">
      <pivotArea dataOnly="0" labelOnly="1" fieldPosition="0">
        <references count="3">
          <reference field="0" count="1">
            <x v="1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101">
      <pivotArea dataOnly="0" labelOnly="1" fieldPosition="0">
        <references count="3">
          <reference field="0" count="1">
            <x v="6"/>
          </reference>
          <reference field="1" count="1" selected="0">
            <x v="2"/>
          </reference>
          <reference field="2" count="1" selected="0">
            <x v="5"/>
          </reference>
        </references>
      </pivotArea>
    </format>
    <format dxfId="100">
      <pivotArea dataOnly="0" labelOnly="1" fieldPosition="0">
        <references count="3">
          <reference field="0" count="1">
            <x v="13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99">
      <pivotArea dataOnly="0" labelOnly="1" fieldPosition="0">
        <references count="3">
          <reference field="0" count="1">
            <x v="8"/>
          </reference>
          <reference field="1" count="1" selected="0">
            <x v="4"/>
          </reference>
          <reference field="2" count="1" selected="0">
            <x v="2"/>
          </reference>
        </references>
      </pivotArea>
    </format>
    <format dxfId="98">
      <pivotArea dataOnly="0" labelOnly="1" fieldPosition="0">
        <references count="3">
          <reference field="0" count="1">
            <x v="1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97">
      <pivotArea dataOnly="0" labelOnly="1" fieldPosition="0">
        <references count="3">
          <reference field="0" count="1">
            <x v="2"/>
          </reference>
          <reference field="1" count="1" selected="0">
            <x v="6"/>
          </reference>
          <reference field="2" count="1" selected="0">
            <x v="8"/>
          </reference>
        </references>
      </pivotArea>
    </format>
    <format dxfId="96">
      <pivotArea dataOnly="0" labelOnly="1" fieldPosition="0">
        <references count="3">
          <reference field="0" count="1">
            <x v="7"/>
          </reference>
          <reference field="1" count="1" selected="0">
            <x v="7"/>
          </reference>
          <reference field="2" count="1" selected="0">
            <x v="7"/>
          </reference>
        </references>
      </pivotArea>
    </format>
    <format dxfId="95">
      <pivotArea dataOnly="0" labelOnly="1" fieldPosition="0">
        <references count="3">
          <reference field="0" count="1">
            <x v="11"/>
          </reference>
          <reference field="1" count="1" selected="0">
            <x v="8"/>
          </reference>
          <reference field="2" count="1" selected="0">
            <x v="2"/>
          </reference>
        </references>
      </pivotArea>
    </format>
    <format dxfId="94">
      <pivotArea dataOnly="0" labelOnly="1" fieldPosition="0">
        <references count="3">
          <reference field="0" count="1">
            <x v="9"/>
          </reference>
          <reference field="1" count="1" selected="0">
            <x v="9"/>
          </reference>
          <reference field="2" count="1" selected="0">
            <x v="7"/>
          </reference>
        </references>
      </pivotArea>
    </format>
    <format dxfId="93">
      <pivotArea dataOnly="0" labelOnly="1" fieldPosition="0">
        <references count="3">
          <reference field="0" count="1">
            <x v="12"/>
          </reference>
          <reference field="1" count="1" selected="0">
            <x v="10"/>
          </reference>
          <reference field="2" count="1" selected="0">
            <x v="2"/>
          </reference>
        </references>
      </pivotArea>
    </format>
    <format dxfId="92">
      <pivotArea dataOnly="0" labelOnly="1" fieldPosition="0">
        <references count="3">
          <reference field="0" count="1">
            <x v="5"/>
          </reference>
          <reference field="1" count="1" selected="0">
            <x v="11"/>
          </reference>
          <reference field="2" count="1" selected="0">
            <x v="7"/>
          </reference>
        </references>
      </pivotArea>
    </format>
    <format dxfId="91">
      <pivotArea dataOnly="0" labelOnly="1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6"/>
          </reference>
        </references>
      </pivotArea>
    </format>
    <format dxfId="90">
      <pivotArea dataOnly="0" labelOnly="1" fieldPosition="0">
        <references count="3">
          <reference field="0" count="1">
            <x v="3"/>
          </reference>
          <reference field="1" count="1" selected="0">
            <x v="13"/>
          </reference>
          <reference field="2" count="1" selected="0">
            <x v="4"/>
          </reference>
        </references>
      </pivotArea>
    </format>
    <format dxfId="8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8">
      <pivotArea collapsedLevelsAreSubtotals="1" fieldPosition="0">
        <references count="1">
          <reference field="1" count="1">
            <x v="0"/>
          </reference>
        </references>
      </pivotArea>
    </format>
    <format dxfId="87">
      <pivotArea collapsedLevelsAreSubtotals="1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86">
      <pivotArea collapsedLevelsAreSubtotals="1" fieldPosition="0">
        <references count="3">
          <reference field="0" count="1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format>
    <format dxfId="85">
      <pivotArea collapsedLevelsAreSubtotals="1" fieldPosition="0">
        <references count="1">
          <reference field="1" count="1">
            <x v="1"/>
          </reference>
        </references>
      </pivotArea>
    </format>
    <format dxfId="84">
      <pivotArea collapsedLevelsAreSubtotals="1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83">
      <pivotArea collapsedLevelsAreSubtotals="1" fieldPosition="0">
        <references count="3">
          <reference field="0" count="1">
            <x v="1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82">
      <pivotArea collapsedLevelsAreSubtotals="1" fieldPosition="0">
        <references count="1">
          <reference field="1" count="1">
            <x v="2"/>
          </reference>
        </references>
      </pivotArea>
    </format>
    <format dxfId="81">
      <pivotArea collapsedLevelsAreSubtotals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80">
      <pivotArea collapsedLevelsAreSubtotals="1" fieldPosition="0">
        <references count="3">
          <reference field="0" count="1">
            <x v="6"/>
          </reference>
          <reference field="1" count="1" selected="0">
            <x v="2"/>
          </reference>
          <reference field="2" count="1" selected="0">
            <x v="5"/>
          </reference>
        </references>
      </pivotArea>
    </format>
    <format dxfId="79">
      <pivotArea collapsedLevelsAreSubtotals="1" fieldPosition="0">
        <references count="1">
          <reference field="1" count="1">
            <x v="3"/>
          </reference>
        </references>
      </pivotArea>
    </format>
    <format dxfId="78">
      <pivotArea collapsedLevelsAreSubtotals="1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77">
      <pivotArea collapsedLevelsAreSubtotals="1" fieldPosition="0">
        <references count="3">
          <reference field="0" count="1">
            <x v="13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76">
      <pivotArea collapsedLevelsAreSubtotals="1" fieldPosition="0">
        <references count="1">
          <reference field="1" count="1">
            <x v="4"/>
          </reference>
        </references>
      </pivotArea>
    </format>
    <format dxfId="75">
      <pivotArea collapsedLevelsAreSubtotals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74">
      <pivotArea collapsedLevelsAreSubtotals="1" fieldPosition="0">
        <references count="3">
          <reference field="0" count="1">
            <x v="8"/>
          </reference>
          <reference field="1" count="1" selected="0">
            <x v="4"/>
          </reference>
          <reference field="2" count="1" selected="0">
            <x v="2"/>
          </reference>
        </references>
      </pivotArea>
    </format>
    <format dxfId="73">
      <pivotArea collapsedLevelsAreSubtotals="1" fieldPosition="0">
        <references count="1">
          <reference field="1" count="1">
            <x v="5"/>
          </reference>
        </references>
      </pivotArea>
    </format>
    <format dxfId="72">
      <pivotArea collapsedLevelsAreSubtotals="1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71">
      <pivotArea collapsedLevelsAreSubtotals="1" fieldPosition="0">
        <references count="3">
          <reference field="0" count="1">
            <x v="1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70">
      <pivotArea collapsedLevelsAreSubtotals="1" fieldPosition="0">
        <references count="1">
          <reference field="1" count="1">
            <x v="6"/>
          </reference>
        </references>
      </pivotArea>
    </format>
    <format dxfId="69">
      <pivotArea collapsedLevelsAreSubtotals="1" fieldPosition="0">
        <references count="2">
          <reference field="1" count="1" selected="0">
            <x v="6"/>
          </reference>
          <reference field="2" count="1">
            <x v="8"/>
          </reference>
        </references>
      </pivotArea>
    </format>
    <format dxfId="68">
      <pivotArea collapsedLevelsAreSubtotals="1" fieldPosition="0">
        <references count="3">
          <reference field="0" count="1">
            <x v="2"/>
          </reference>
          <reference field="1" count="1" selected="0">
            <x v="6"/>
          </reference>
          <reference field="2" count="1" selected="0">
            <x v="8"/>
          </reference>
        </references>
      </pivotArea>
    </format>
    <format dxfId="67">
      <pivotArea collapsedLevelsAreSubtotals="1" fieldPosition="0">
        <references count="1">
          <reference field="1" count="1">
            <x v="7"/>
          </reference>
        </references>
      </pivotArea>
    </format>
    <format dxfId="66">
      <pivotArea collapsedLevelsAreSubtotals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65">
      <pivotArea collapsedLevelsAreSubtotals="1" fieldPosition="0">
        <references count="3">
          <reference field="0" count="1">
            <x v="7"/>
          </reference>
          <reference field="1" count="1" selected="0">
            <x v="7"/>
          </reference>
          <reference field="2" count="1" selected="0">
            <x v="7"/>
          </reference>
        </references>
      </pivotArea>
    </format>
    <format dxfId="64">
      <pivotArea collapsedLevelsAreSubtotals="1" fieldPosition="0">
        <references count="1">
          <reference field="1" count="1">
            <x v="8"/>
          </reference>
        </references>
      </pivotArea>
    </format>
    <format dxfId="63">
      <pivotArea collapsedLevelsAreSubtotals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62">
      <pivotArea collapsedLevelsAreSubtotals="1" fieldPosition="0">
        <references count="3">
          <reference field="0" count="1">
            <x v="11"/>
          </reference>
          <reference field="1" count="1" selected="0">
            <x v="8"/>
          </reference>
          <reference field="2" count="1" selected="0">
            <x v="2"/>
          </reference>
        </references>
      </pivotArea>
    </format>
    <format dxfId="61">
      <pivotArea collapsedLevelsAreSubtotals="1" fieldPosition="0">
        <references count="1">
          <reference field="1" count="1">
            <x v="9"/>
          </reference>
        </references>
      </pivotArea>
    </format>
    <format dxfId="60">
      <pivotArea collapsedLevelsAreSubtotals="1" fieldPosition="0">
        <references count="2">
          <reference field="1" count="1" selected="0">
            <x v="9"/>
          </reference>
          <reference field="2" count="1">
            <x v="7"/>
          </reference>
        </references>
      </pivotArea>
    </format>
    <format dxfId="59">
      <pivotArea collapsedLevelsAreSubtotals="1" fieldPosition="0">
        <references count="3">
          <reference field="0" count="1">
            <x v="9"/>
          </reference>
          <reference field="1" count="1" selected="0">
            <x v="9"/>
          </reference>
          <reference field="2" count="1" selected="0">
            <x v="7"/>
          </reference>
        </references>
      </pivotArea>
    </format>
    <format dxfId="58">
      <pivotArea collapsedLevelsAreSubtotals="1" fieldPosition="0">
        <references count="1">
          <reference field="1" count="1">
            <x v="10"/>
          </reference>
        </references>
      </pivotArea>
    </format>
    <format dxfId="57">
      <pivotArea collapsedLevelsAreSubtotals="1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56">
      <pivotArea collapsedLevelsAreSubtotals="1" fieldPosition="0">
        <references count="3">
          <reference field="0" count="1">
            <x v="12"/>
          </reference>
          <reference field="1" count="1" selected="0">
            <x v="10"/>
          </reference>
          <reference field="2" count="1" selected="0">
            <x v="2"/>
          </reference>
        </references>
      </pivotArea>
    </format>
    <format dxfId="55">
      <pivotArea collapsedLevelsAreSubtotals="1" fieldPosition="0">
        <references count="1">
          <reference field="1" count="1">
            <x v="11"/>
          </reference>
        </references>
      </pivotArea>
    </format>
    <format dxfId="54">
      <pivotArea collapsedLevelsAreSubtotals="1" fieldPosition="0">
        <references count="2">
          <reference field="1" count="1" selected="0">
            <x v="11"/>
          </reference>
          <reference field="2" count="1">
            <x v="7"/>
          </reference>
        </references>
      </pivotArea>
    </format>
    <format dxfId="53">
      <pivotArea collapsedLevelsAreSubtotals="1" fieldPosition="0">
        <references count="3">
          <reference field="0" count="1">
            <x v="5"/>
          </reference>
          <reference field="1" count="1" selected="0">
            <x v="11"/>
          </reference>
          <reference field="2" count="1" selected="0">
            <x v="7"/>
          </reference>
        </references>
      </pivotArea>
    </format>
    <format dxfId="52">
      <pivotArea collapsedLevelsAreSubtotals="1" fieldPosition="0">
        <references count="1">
          <reference field="1" count="1">
            <x v="12"/>
          </reference>
        </references>
      </pivotArea>
    </format>
    <format dxfId="51">
      <pivotArea collapsedLevelsAreSubtotals="1" fieldPosition="0">
        <references count="2">
          <reference field="1" count="1" selected="0">
            <x v="12"/>
          </reference>
          <reference field="2" count="1">
            <x v="6"/>
          </reference>
        </references>
      </pivotArea>
    </format>
    <format dxfId="50">
      <pivotArea collapsedLevelsAreSubtotals="1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6"/>
          </reference>
        </references>
      </pivotArea>
    </format>
    <format dxfId="49">
      <pivotArea collapsedLevelsAreSubtotals="1" fieldPosition="0">
        <references count="1">
          <reference field="1" count="1">
            <x v="13"/>
          </reference>
        </references>
      </pivotArea>
    </format>
    <format dxfId="48">
      <pivotArea collapsedLevelsAreSubtotals="1" fieldPosition="0">
        <references count="2">
          <reference field="1" count="1" selected="0">
            <x v="13"/>
          </reference>
          <reference field="2" count="1">
            <x v="4"/>
          </reference>
        </references>
      </pivotArea>
    </format>
    <format dxfId="47">
      <pivotArea collapsedLevelsAreSubtotals="1" fieldPosition="0">
        <references count="3">
          <reference field="0" count="1">
            <x v="3"/>
          </reference>
          <reference field="1" count="1" selected="0">
            <x v="13"/>
          </reference>
          <reference field="2" count="1" selected="0">
            <x v="4"/>
          </reference>
        </references>
      </pivotArea>
    </format>
    <format dxfId="46">
      <pivotArea dataOnly="0" labelOnly="1" fieldPosition="0">
        <references count="1">
          <reference field="1" count="0"/>
        </references>
      </pivotArea>
    </format>
    <format dxfId="45">
      <pivotArea dataOnly="0" labelOnly="1" fieldPosition="0">
        <references count="2">
          <reference field="1" count="1" selected="0">
            <x v="0"/>
          </reference>
          <reference field="2" count="1">
            <x v="3"/>
          </reference>
        </references>
      </pivotArea>
    </format>
    <format dxfId="44">
      <pivotArea dataOnly="0" labelOnly="1" fieldPosition="0">
        <references count="2">
          <reference field="1" count="1" selected="0">
            <x v="1"/>
          </reference>
          <reference field="2" count="1">
            <x v="0"/>
          </reference>
        </references>
      </pivotArea>
    </format>
    <format dxfId="43">
      <pivotArea dataOnly="0" labelOnly="1" fieldPosition="0">
        <references count="2">
          <reference field="1" count="1" selected="0">
            <x v="2"/>
          </reference>
          <reference field="2" count="1">
            <x v="5"/>
          </reference>
        </references>
      </pivotArea>
    </format>
    <format dxfId="42">
      <pivotArea dataOnly="0" labelOnly="1" fieldPosition="0">
        <references count="2">
          <reference field="1" count="1" selected="0">
            <x v="3"/>
          </reference>
          <reference field="2" count="1">
            <x v="2"/>
          </reference>
        </references>
      </pivotArea>
    </format>
    <format dxfId="41">
      <pivotArea dataOnly="0" labelOnly="1" fieldPosition="0">
        <references count="2">
          <reference field="1" count="1" selected="0">
            <x v="4"/>
          </reference>
          <reference field="2" count="1">
            <x v="2"/>
          </reference>
        </references>
      </pivotArea>
    </format>
    <format dxfId="40">
      <pivotArea dataOnly="0" labelOnly="1" fieldPosition="0">
        <references count="2">
          <reference field="1" count="1" selected="0">
            <x v="5"/>
          </reference>
          <reference field="2" count="1">
            <x v="1"/>
          </reference>
        </references>
      </pivotArea>
    </format>
    <format dxfId="39">
      <pivotArea dataOnly="0" labelOnly="1" fieldPosition="0">
        <references count="2">
          <reference field="1" count="1" selected="0">
            <x v="6"/>
          </reference>
          <reference field="2" count="1">
            <x v="8"/>
          </reference>
        </references>
      </pivotArea>
    </format>
    <format dxfId="38">
      <pivotArea dataOnly="0" labelOnly="1" fieldPosition="0">
        <references count="2">
          <reference field="1" count="1" selected="0">
            <x v="7"/>
          </reference>
          <reference field="2" count="1">
            <x v="7"/>
          </reference>
        </references>
      </pivotArea>
    </format>
    <format dxfId="37">
      <pivotArea dataOnly="0" labelOnly="1" fieldPosition="0">
        <references count="2">
          <reference field="1" count="1" selected="0">
            <x v="8"/>
          </reference>
          <reference field="2" count="1">
            <x v="2"/>
          </reference>
        </references>
      </pivotArea>
    </format>
    <format dxfId="36">
      <pivotArea dataOnly="0" labelOnly="1" fieldPosition="0">
        <references count="2">
          <reference field="1" count="1" selected="0">
            <x v="9"/>
          </reference>
          <reference field="2" count="1">
            <x v="7"/>
          </reference>
        </references>
      </pivotArea>
    </format>
    <format dxfId="35">
      <pivotArea dataOnly="0" labelOnly="1" fieldPosition="0">
        <references count="2">
          <reference field="1" count="1" selected="0">
            <x v="10"/>
          </reference>
          <reference field="2" count="1">
            <x v="2"/>
          </reference>
        </references>
      </pivotArea>
    </format>
    <format dxfId="34">
      <pivotArea dataOnly="0" labelOnly="1" fieldPosition="0">
        <references count="2">
          <reference field="1" count="1" selected="0">
            <x v="11"/>
          </reference>
          <reference field="2" count="1">
            <x v="7"/>
          </reference>
        </references>
      </pivotArea>
    </format>
    <format dxfId="33">
      <pivotArea dataOnly="0" labelOnly="1" fieldPosition="0">
        <references count="2">
          <reference field="1" count="1" selected="0">
            <x v="12"/>
          </reference>
          <reference field="2" count="1">
            <x v="6"/>
          </reference>
        </references>
      </pivotArea>
    </format>
    <format dxfId="32">
      <pivotArea dataOnly="0" labelOnly="1" fieldPosition="0">
        <references count="2">
          <reference field="1" count="1" selected="0">
            <x v="13"/>
          </reference>
          <reference field="2" count="1">
            <x v="4"/>
          </reference>
        </references>
      </pivotArea>
    </format>
    <format dxfId="31">
      <pivotArea dataOnly="0" labelOnly="1" fieldPosition="0">
        <references count="3">
          <reference field="0" count="1">
            <x v="0"/>
          </reference>
          <reference field="1" count="1" selected="0">
            <x v="0"/>
          </reference>
          <reference field="2" count="1" selected="0">
            <x v="3"/>
          </reference>
        </references>
      </pivotArea>
    </format>
    <format dxfId="30">
      <pivotArea dataOnly="0" labelOnly="1" fieldPosition="0">
        <references count="3">
          <reference field="0" count="1">
            <x v="10"/>
          </reference>
          <reference field="1" count="1" selected="0">
            <x v="1"/>
          </reference>
          <reference field="2" count="1" selected="0">
            <x v="0"/>
          </reference>
        </references>
      </pivotArea>
    </format>
    <format dxfId="29">
      <pivotArea dataOnly="0" labelOnly="1" fieldPosition="0">
        <references count="3">
          <reference field="0" count="1">
            <x v="6"/>
          </reference>
          <reference field="1" count="1" selected="0">
            <x v="2"/>
          </reference>
          <reference field="2" count="1" selected="0">
            <x v="5"/>
          </reference>
        </references>
      </pivotArea>
    </format>
    <format dxfId="28">
      <pivotArea dataOnly="0" labelOnly="1" fieldPosition="0">
        <references count="3">
          <reference field="0" count="1">
            <x v="13"/>
          </reference>
          <reference field="1" count="1" selected="0">
            <x v="3"/>
          </reference>
          <reference field="2" count="1" selected="0">
            <x v="2"/>
          </reference>
        </references>
      </pivotArea>
    </format>
    <format dxfId="27">
      <pivotArea dataOnly="0" labelOnly="1" fieldPosition="0">
        <references count="3">
          <reference field="0" count="1">
            <x v="8"/>
          </reference>
          <reference field="1" count="1" selected="0">
            <x v="4"/>
          </reference>
          <reference field="2" count="1" selected="0">
            <x v="2"/>
          </reference>
        </references>
      </pivotArea>
    </format>
    <format dxfId="26">
      <pivotArea dataOnly="0" labelOnly="1" fieldPosition="0">
        <references count="3">
          <reference field="0" count="1">
            <x v="1"/>
          </reference>
          <reference field="1" count="1" selected="0">
            <x v="5"/>
          </reference>
          <reference field="2" count="1" selected="0">
            <x v="1"/>
          </reference>
        </references>
      </pivotArea>
    </format>
    <format dxfId="25">
      <pivotArea dataOnly="0" labelOnly="1" fieldPosition="0">
        <references count="3">
          <reference field="0" count="1">
            <x v="2"/>
          </reference>
          <reference field="1" count="1" selected="0">
            <x v="6"/>
          </reference>
          <reference field="2" count="1" selected="0">
            <x v="8"/>
          </reference>
        </references>
      </pivotArea>
    </format>
    <format dxfId="24">
      <pivotArea dataOnly="0" labelOnly="1" fieldPosition="0">
        <references count="3">
          <reference field="0" count="1">
            <x v="7"/>
          </reference>
          <reference field="1" count="1" selected="0">
            <x v="7"/>
          </reference>
          <reference field="2" count="1" selected="0">
            <x v="7"/>
          </reference>
        </references>
      </pivotArea>
    </format>
    <format dxfId="23">
      <pivotArea dataOnly="0" labelOnly="1" fieldPosition="0">
        <references count="3">
          <reference field="0" count="1">
            <x v="11"/>
          </reference>
          <reference field="1" count="1" selected="0">
            <x v="8"/>
          </reference>
          <reference field="2" count="1" selected="0">
            <x v="2"/>
          </reference>
        </references>
      </pivotArea>
    </format>
    <format dxfId="22">
      <pivotArea dataOnly="0" labelOnly="1" fieldPosition="0">
        <references count="3">
          <reference field="0" count="1">
            <x v="9"/>
          </reference>
          <reference field="1" count="1" selected="0">
            <x v="9"/>
          </reference>
          <reference field="2" count="1" selected="0">
            <x v="7"/>
          </reference>
        </references>
      </pivotArea>
    </format>
    <format dxfId="21">
      <pivotArea dataOnly="0" labelOnly="1" fieldPosition="0">
        <references count="3">
          <reference field="0" count="1">
            <x v="12"/>
          </reference>
          <reference field="1" count="1" selected="0">
            <x v="10"/>
          </reference>
          <reference field="2" count="1" selected="0">
            <x v="2"/>
          </reference>
        </references>
      </pivotArea>
    </format>
    <format dxfId="20">
      <pivotArea dataOnly="0" labelOnly="1" fieldPosition="0">
        <references count="3">
          <reference field="0" count="1">
            <x v="5"/>
          </reference>
          <reference field="1" count="1" selected="0">
            <x v="11"/>
          </reference>
          <reference field="2" count="1" selected="0">
            <x v="7"/>
          </reference>
        </references>
      </pivotArea>
    </format>
    <format dxfId="19">
      <pivotArea dataOnly="0" labelOnly="1" fieldPosition="0">
        <references count="3">
          <reference field="0" count="1">
            <x v="4"/>
          </reference>
          <reference field="1" count="1" selected="0">
            <x v="12"/>
          </reference>
          <reference field="2" count="1" selected="0">
            <x v="6"/>
          </reference>
        </references>
      </pivotArea>
    </format>
    <format dxfId="18">
      <pivotArea dataOnly="0" labelOnly="1" fieldPosition="0">
        <references count="3">
          <reference field="0" count="1">
            <x v="3"/>
          </reference>
          <reference field="1" count="1" selected="0">
            <x v="13"/>
          </reference>
          <reference field="2" count="1" selected="0">
            <x v="4"/>
          </reference>
        </references>
      </pivotArea>
    </format>
  </formats>
  <chartFormats count="2">
    <chartFormat chart="34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4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416250-B317-4394-A682-C70F481668D1}">
  <dimension ref="A1:P30"/>
  <sheetViews>
    <sheetView tabSelected="1" zoomScale="71" zoomScaleNormal="69" workbookViewId="0">
      <selection activeCell="A4" sqref="A4:A17"/>
    </sheetView>
  </sheetViews>
  <sheetFormatPr defaultRowHeight="14.5" x14ac:dyDescent="0.35"/>
  <cols>
    <col min="1" max="1" width="10.1796875" bestFit="1" customWidth="1"/>
    <col min="2" max="2" width="12.90625" bestFit="1" customWidth="1"/>
    <col min="3" max="3" width="13.81640625" bestFit="1" customWidth="1"/>
    <col min="4" max="5" width="13.54296875" bestFit="1" customWidth="1"/>
    <col min="6" max="6" width="8.7265625" bestFit="1" customWidth="1"/>
    <col min="7" max="7" width="8.453125" bestFit="1" customWidth="1"/>
    <col min="8" max="8" width="7" bestFit="1" customWidth="1"/>
    <col min="9" max="9" width="14.81640625" bestFit="1" customWidth="1"/>
    <col min="10" max="10" width="11.36328125" bestFit="1" customWidth="1"/>
    <col min="11" max="11" width="11.54296875" bestFit="1" customWidth="1"/>
    <col min="12" max="12" width="14" bestFit="1" customWidth="1"/>
    <col min="13" max="13" width="7" bestFit="1" customWidth="1"/>
    <col min="14" max="14" width="8.08984375" bestFit="1" customWidth="1"/>
    <col min="15" max="15" width="15.6328125" bestFit="1" customWidth="1"/>
    <col min="16" max="16" width="13.08984375" customWidth="1"/>
  </cols>
  <sheetData>
    <row r="1" spans="1:16" ht="29" customHeight="1" x14ac:dyDescent="0.35">
      <c r="A1" s="22" t="s">
        <v>0</v>
      </c>
      <c r="B1" s="23"/>
      <c r="C1" s="23"/>
      <c r="D1" s="23"/>
      <c r="E1" s="23"/>
      <c r="F1" s="23"/>
      <c r="G1" s="23"/>
      <c r="H1" s="23"/>
      <c r="I1" s="23"/>
      <c r="J1" s="23"/>
      <c r="K1" s="23"/>
      <c r="L1" s="23"/>
      <c r="M1" s="23"/>
      <c r="N1" s="23"/>
      <c r="O1" s="23"/>
      <c r="P1" s="23"/>
    </row>
    <row r="2" spans="1:16" ht="22" customHeight="1" x14ac:dyDescent="0.35">
      <c r="A2" s="29" t="s">
        <v>1</v>
      </c>
      <c r="B2" s="29"/>
      <c r="C2" s="29"/>
      <c r="D2" s="29" t="s">
        <v>2</v>
      </c>
      <c r="E2" s="29"/>
      <c r="F2" s="29"/>
      <c r="G2" s="29" t="s">
        <v>3</v>
      </c>
      <c r="H2" s="29"/>
      <c r="I2" s="29"/>
      <c r="J2" s="29" t="s">
        <v>56</v>
      </c>
      <c r="K2" s="29"/>
      <c r="L2" s="30" t="s">
        <v>4</v>
      </c>
      <c r="M2" s="29" t="s">
        <v>5</v>
      </c>
      <c r="N2" s="29"/>
      <c r="O2" s="29" t="s">
        <v>2</v>
      </c>
      <c r="P2" s="29"/>
    </row>
    <row r="3" spans="1:16" x14ac:dyDescent="0.35">
      <c r="A3" s="9" t="s">
        <v>7</v>
      </c>
      <c r="B3" s="9" t="s">
        <v>6</v>
      </c>
      <c r="C3" s="9" t="s">
        <v>8</v>
      </c>
      <c r="D3" s="9" t="s">
        <v>9</v>
      </c>
      <c r="E3" s="9" t="s">
        <v>10</v>
      </c>
      <c r="F3" s="9" t="s">
        <v>11</v>
      </c>
      <c r="G3" s="9" t="s">
        <v>12</v>
      </c>
      <c r="H3" s="9" t="s">
        <v>13</v>
      </c>
      <c r="I3" s="9" t="s">
        <v>14</v>
      </c>
      <c r="J3" s="9" t="s">
        <v>15</v>
      </c>
      <c r="K3" s="9" t="s">
        <v>16</v>
      </c>
      <c r="L3" s="9" t="s">
        <v>17</v>
      </c>
      <c r="M3" s="9" t="s">
        <v>18</v>
      </c>
      <c r="N3" s="9" t="s">
        <v>19</v>
      </c>
      <c r="O3" s="13" t="s">
        <v>20</v>
      </c>
      <c r="P3" s="12" t="s">
        <v>44</v>
      </c>
    </row>
    <row r="4" spans="1:16" x14ac:dyDescent="0.35">
      <c r="A4" s="1">
        <v>1001</v>
      </c>
      <c r="B4" s="2" t="s">
        <v>21</v>
      </c>
      <c r="C4" s="28" t="s">
        <v>35</v>
      </c>
      <c r="D4" s="2">
        <v>50000</v>
      </c>
      <c r="E4" s="11">
        <v>28</v>
      </c>
      <c r="F4" s="4">
        <f>D4/30*E4</f>
        <v>46666.666666666672</v>
      </c>
      <c r="G4" s="4">
        <f>D4*12%</f>
        <v>6000</v>
      </c>
      <c r="H4" s="5">
        <f>D4*8%</f>
        <v>4000</v>
      </c>
      <c r="I4" s="5">
        <v>3000</v>
      </c>
      <c r="J4" s="10">
        <v>38</v>
      </c>
      <c r="K4" s="3">
        <f>D4/30/8*J4</f>
        <v>7916.666666666667</v>
      </c>
      <c r="L4" s="6">
        <f>SUM(F4,G4,H4,I4,K4)</f>
        <v>67583.333333333343</v>
      </c>
      <c r="M4" s="7">
        <f>D4*12%</f>
        <v>6000</v>
      </c>
      <c r="N4" s="8">
        <f>L4*0.75%</f>
        <v>506.87500000000006</v>
      </c>
      <c r="O4" s="6">
        <f>L4-M4-N4</f>
        <v>61076.458333333343</v>
      </c>
      <c r="P4" s="2" t="str">
        <f>IF(O4&gt;=40000,"High Salary","Low Salary")</f>
        <v>High Salary</v>
      </c>
    </row>
    <row r="5" spans="1:16" x14ac:dyDescent="0.35">
      <c r="A5" s="1">
        <v>1002</v>
      </c>
      <c r="B5" s="2" t="s">
        <v>22</v>
      </c>
      <c r="C5" s="28" t="s">
        <v>36</v>
      </c>
      <c r="D5" s="2">
        <v>40000</v>
      </c>
      <c r="E5" s="11">
        <v>26</v>
      </c>
      <c r="F5" s="4">
        <f t="shared" ref="F5:F17" si="0">D5/30*E5</f>
        <v>34666.666666666664</v>
      </c>
      <c r="G5" s="4">
        <f t="shared" ref="G5:G17" si="1">D5*12%</f>
        <v>4800</v>
      </c>
      <c r="H5" s="5">
        <f t="shared" ref="H5:H17" si="2">D5*8%</f>
        <v>3200</v>
      </c>
      <c r="I5" s="5">
        <v>3000</v>
      </c>
      <c r="J5" s="10">
        <v>61</v>
      </c>
      <c r="K5" s="3">
        <f t="shared" ref="K5:K17" si="3">D5/30/8*J5</f>
        <v>10166.666666666666</v>
      </c>
      <c r="L5" s="6">
        <f t="shared" ref="L5:L17" si="4">SUM(F5,G5,H5,I5,K5)</f>
        <v>55833.333333333328</v>
      </c>
      <c r="M5" s="7">
        <f t="shared" ref="M5:M17" si="5">D5*12%</f>
        <v>4800</v>
      </c>
      <c r="N5" s="8">
        <f t="shared" ref="N5:N17" si="6">L5*0.75%</f>
        <v>418.74999999999994</v>
      </c>
      <c r="O5" s="6">
        <f t="shared" ref="O5:O17" si="7">L5-M5-N5</f>
        <v>50614.583333333328</v>
      </c>
      <c r="P5" s="2" t="str">
        <f t="shared" ref="P5:P17" si="8">IF(O5&gt;=40000,"High Salary","Low Salary")</f>
        <v>High Salary</v>
      </c>
    </row>
    <row r="6" spans="1:16" x14ac:dyDescent="0.35">
      <c r="A6" s="1">
        <v>1003</v>
      </c>
      <c r="B6" s="2" t="s">
        <v>23</v>
      </c>
      <c r="C6" s="28" t="s">
        <v>37</v>
      </c>
      <c r="D6" s="2">
        <v>32000</v>
      </c>
      <c r="E6" s="11">
        <v>30</v>
      </c>
      <c r="F6" s="4">
        <f t="shared" si="0"/>
        <v>32000.000000000004</v>
      </c>
      <c r="G6" s="4">
        <f t="shared" si="1"/>
        <v>3840</v>
      </c>
      <c r="H6" s="5">
        <f t="shared" si="2"/>
        <v>2560</v>
      </c>
      <c r="I6" s="5">
        <v>3000</v>
      </c>
      <c r="J6" s="10">
        <v>36</v>
      </c>
      <c r="K6" s="3">
        <f t="shared" si="3"/>
        <v>4800</v>
      </c>
      <c r="L6" s="6">
        <f t="shared" si="4"/>
        <v>46200</v>
      </c>
      <c r="M6" s="7">
        <f t="shared" si="5"/>
        <v>3840</v>
      </c>
      <c r="N6" s="8">
        <f t="shared" si="6"/>
        <v>346.5</v>
      </c>
      <c r="O6" s="6">
        <f t="shared" si="7"/>
        <v>42013.5</v>
      </c>
      <c r="P6" s="2" t="str">
        <f t="shared" si="8"/>
        <v>High Salary</v>
      </c>
    </row>
    <row r="7" spans="1:16" x14ac:dyDescent="0.35">
      <c r="A7" s="1">
        <v>1004</v>
      </c>
      <c r="B7" s="2" t="s">
        <v>24</v>
      </c>
      <c r="C7" s="28" t="s">
        <v>38</v>
      </c>
      <c r="D7" s="2">
        <v>45000</v>
      </c>
      <c r="E7" s="11">
        <v>28</v>
      </c>
      <c r="F7" s="4">
        <f t="shared" si="0"/>
        <v>42000</v>
      </c>
      <c r="G7" s="4">
        <f t="shared" si="1"/>
        <v>5400</v>
      </c>
      <c r="H7" s="5">
        <f t="shared" si="2"/>
        <v>3600</v>
      </c>
      <c r="I7" s="5">
        <v>3000</v>
      </c>
      <c r="J7" s="10">
        <v>45</v>
      </c>
      <c r="K7" s="3">
        <f t="shared" si="3"/>
        <v>8437.5</v>
      </c>
      <c r="L7" s="6">
        <f t="shared" si="4"/>
        <v>62437.5</v>
      </c>
      <c r="M7" s="7">
        <f t="shared" si="5"/>
        <v>5400</v>
      </c>
      <c r="N7" s="8">
        <f t="shared" si="6"/>
        <v>468.28125</v>
      </c>
      <c r="O7" s="6">
        <f t="shared" si="7"/>
        <v>56569.21875</v>
      </c>
      <c r="P7" s="2" t="str">
        <f t="shared" si="8"/>
        <v>High Salary</v>
      </c>
    </row>
    <row r="8" spans="1:16" x14ac:dyDescent="0.35">
      <c r="A8" s="1">
        <v>1005</v>
      </c>
      <c r="B8" s="2" t="s">
        <v>25</v>
      </c>
      <c r="C8" s="28" t="s">
        <v>39</v>
      </c>
      <c r="D8" s="2">
        <v>37000</v>
      </c>
      <c r="E8" s="11">
        <v>24</v>
      </c>
      <c r="F8" s="4">
        <f t="shared" si="0"/>
        <v>29600</v>
      </c>
      <c r="G8" s="4">
        <f t="shared" si="1"/>
        <v>4440</v>
      </c>
      <c r="H8" s="5">
        <f t="shared" si="2"/>
        <v>2960</v>
      </c>
      <c r="I8" s="5">
        <v>3000</v>
      </c>
      <c r="J8" s="10">
        <v>40</v>
      </c>
      <c r="K8" s="3">
        <f t="shared" si="3"/>
        <v>6166.6666666666661</v>
      </c>
      <c r="L8" s="6">
        <f t="shared" si="4"/>
        <v>46166.666666666664</v>
      </c>
      <c r="M8" s="7">
        <f t="shared" si="5"/>
        <v>4440</v>
      </c>
      <c r="N8" s="8">
        <f t="shared" si="6"/>
        <v>346.24999999999994</v>
      </c>
      <c r="O8" s="6">
        <f t="shared" si="7"/>
        <v>41380.416666666664</v>
      </c>
      <c r="P8" s="2" t="str">
        <f t="shared" si="8"/>
        <v>High Salary</v>
      </c>
    </row>
    <row r="9" spans="1:16" x14ac:dyDescent="0.35">
      <c r="A9" s="1">
        <v>1006</v>
      </c>
      <c r="B9" s="2" t="s">
        <v>26</v>
      </c>
      <c r="C9" s="28" t="s">
        <v>40</v>
      </c>
      <c r="D9" s="2">
        <v>30000</v>
      </c>
      <c r="E9" s="11">
        <v>25</v>
      </c>
      <c r="F9" s="4">
        <f t="shared" si="0"/>
        <v>25000</v>
      </c>
      <c r="G9" s="4">
        <f t="shared" si="1"/>
        <v>3600</v>
      </c>
      <c r="H9" s="5">
        <f t="shared" si="2"/>
        <v>2400</v>
      </c>
      <c r="I9" s="5">
        <v>3000</v>
      </c>
      <c r="J9" s="10">
        <v>62</v>
      </c>
      <c r="K9" s="3">
        <f t="shared" si="3"/>
        <v>7750</v>
      </c>
      <c r="L9" s="6">
        <f t="shared" si="4"/>
        <v>41750</v>
      </c>
      <c r="M9" s="7">
        <f t="shared" si="5"/>
        <v>3600</v>
      </c>
      <c r="N9" s="8">
        <f t="shared" si="6"/>
        <v>313.125</v>
      </c>
      <c r="O9" s="6">
        <f t="shared" si="7"/>
        <v>37836.875</v>
      </c>
      <c r="P9" s="2" t="str">
        <f t="shared" si="8"/>
        <v>Low Salary</v>
      </c>
    </row>
    <row r="10" spans="1:16" x14ac:dyDescent="0.35">
      <c r="A10" s="1">
        <v>1007</v>
      </c>
      <c r="B10" s="2" t="s">
        <v>27</v>
      </c>
      <c r="C10" s="28" t="s">
        <v>41</v>
      </c>
      <c r="D10" s="2">
        <v>26000</v>
      </c>
      <c r="E10" s="11">
        <v>29</v>
      </c>
      <c r="F10" s="4">
        <f t="shared" si="0"/>
        <v>25133.333333333332</v>
      </c>
      <c r="G10" s="4">
        <f t="shared" si="1"/>
        <v>3120</v>
      </c>
      <c r="H10" s="5">
        <f t="shared" si="2"/>
        <v>2080</v>
      </c>
      <c r="I10" s="5">
        <v>3000</v>
      </c>
      <c r="J10" s="10">
        <v>49</v>
      </c>
      <c r="K10" s="3">
        <f t="shared" si="3"/>
        <v>5308.333333333333</v>
      </c>
      <c r="L10" s="6">
        <f t="shared" si="4"/>
        <v>38641.666666666664</v>
      </c>
      <c r="M10" s="7">
        <f t="shared" si="5"/>
        <v>3120</v>
      </c>
      <c r="N10" s="8">
        <f t="shared" si="6"/>
        <v>289.81249999999994</v>
      </c>
      <c r="O10" s="6">
        <f t="shared" si="7"/>
        <v>35231.854166666664</v>
      </c>
      <c r="P10" s="2" t="str">
        <f t="shared" si="8"/>
        <v>Low Salary</v>
      </c>
    </row>
    <row r="11" spans="1:16" x14ac:dyDescent="0.35">
      <c r="A11" s="1">
        <v>1008</v>
      </c>
      <c r="B11" s="2" t="s">
        <v>28</v>
      </c>
      <c r="C11" s="28" t="s">
        <v>40</v>
      </c>
      <c r="D11" s="2">
        <v>18000</v>
      </c>
      <c r="E11" s="11">
        <v>26</v>
      </c>
      <c r="F11" s="4">
        <f t="shared" si="0"/>
        <v>15600</v>
      </c>
      <c r="G11" s="4">
        <f t="shared" si="1"/>
        <v>2160</v>
      </c>
      <c r="H11" s="5">
        <f t="shared" si="2"/>
        <v>1440</v>
      </c>
      <c r="I11" s="5">
        <v>3000</v>
      </c>
      <c r="J11" s="10">
        <v>36</v>
      </c>
      <c r="K11" s="3">
        <f t="shared" si="3"/>
        <v>2700</v>
      </c>
      <c r="L11" s="6">
        <f t="shared" si="4"/>
        <v>24900</v>
      </c>
      <c r="M11" s="7">
        <f t="shared" si="5"/>
        <v>2160</v>
      </c>
      <c r="N11" s="8">
        <f t="shared" si="6"/>
        <v>186.75</v>
      </c>
      <c r="O11" s="6">
        <f t="shared" si="7"/>
        <v>22553.25</v>
      </c>
      <c r="P11" s="2" t="str">
        <f t="shared" si="8"/>
        <v>Low Salary</v>
      </c>
    </row>
    <row r="12" spans="1:16" x14ac:dyDescent="0.35">
      <c r="A12" s="1">
        <v>1009</v>
      </c>
      <c r="B12" s="2" t="s">
        <v>29</v>
      </c>
      <c r="C12" s="28" t="s">
        <v>42</v>
      </c>
      <c r="D12" s="2">
        <v>35000</v>
      </c>
      <c r="E12" s="11">
        <v>29</v>
      </c>
      <c r="F12" s="4">
        <f t="shared" si="0"/>
        <v>33833.333333333336</v>
      </c>
      <c r="G12" s="4">
        <f t="shared" si="1"/>
        <v>4200</v>
      </c>
      <c r="H12" s="5">
        <f t="shared" si="2"/>
        <v>2800</v>
      </c>
      <c r="I12" s="5">
        <v>3000</v>
      </c>
      <c r="J12" s="10">
        <v>45</v>
      </c>
      <c r="K12" s="3">
        <f t="shared" si="3"/>
        <v>6562.5</v>
      </c>
      <c r="L12" s="6">
        <f t="shared" si="4"/>
        <v>50395.833333333336</v>
      </c>
      <c r="M12" s="7">
        <f t="shared" si="5"/>
        <v>4200</v>
      </c>
      <c r="N12" s="8">
        <f t="shared" si="6"/>
        <v>377.96875</v>
      </c>
      <c r="O12" s="6">
        <f t="shared" si="7"/>
        <v>45817.864583333336</v>
      </c>
      <c r="P12" s="2" t="str">
        <f t="shared" si="8"/>
        <v>High Salary</v>
      </c>
    </row>
    <row r="13" spans="1:16" x14ac:dyDescent="0.35">
      <c r="A13" s="1">
        <v>1010</v>
      </c>
      <c r="B13" s="2" t="s">
        <v>30</v>
      </c>
      <c r="C13" s="28" t="s">
        <v>40</v>
      </c>
      <c r="D13" s="2">
        <v>30000</v>
      </c>
      <c r="E13" s="11">
        <v>30</v>
      </c>
      <c r="F13" s="4">
        <f t="shared" si="0"/>
        <v>30000</v>
      </c>
      <c r="G13" s="4">
        <f t="shared" si="1"/>
        <v>3600</v>
      </c>
      <c r="H13" s="5">
        <f t="shared" si="2"/>
        <v>2400</v>
      </c>
      <c r="I13" s="5">
        <v>3000</v>
      </c>
      <c r="J13" s="10">
        <v>51</v>
      </c>
      <c r="K13" s="3">
        <f t="shared" si="3"/>
        <v>6375</v>
      </c>
      <c r="L13" s="6">
        <f t="shared" si="4"/>
        <v>45375</v>
      </c>
      <c r="M13" s="7">
        <f t="shared" si="5"/>
        <v>3600</v>
      </c>
      <c r="N13" s="8">
        <f t="shared" si="6"/>
        <v>340.3125</v>
      </c>
      <c r="O13" s="6">
        <f t="shared" si="7"/>
        <v>41434.6875</v>
      </c>
      <c r="P13" s="2" t="str">
        <f t="shared" si="8"/>
        <v>High Salary</v>
      </c>
    </row>
    <row r="14" spans="1:16" x14ac:dyDescent="0.35">
      <c r="A14" s="1">
        <v>1011</v>
      </c>
      <c r="B14" s="2" t="s">
        <v>31</v>
      </c>
      <c r="C14" s="28" t="s">
        <v>43</v>
      </c>
      <c r="D14" s="2">
        <v>40000</v>
      </c>
      <c r="E14" s="11">
        <v>30</v>
      </c>
      <c r="F14" s="4">
        <f t="shared" si="0"/>
        <v>40000</v>
      </c>
      <c r="G14" s="4">
        <f t="shared" si="1"/>
        <v>4800</v>
      </c>
      <c r="H14" s="5">
        <f t="shared" si="2"/>
        <v>3200</v>
      </c>
      <c r="I14" s="5">
        <v>3000</v>
      </c>
      <c r="J14" s="10">
        <v>52</v>
      </c>
      <c r="K14" s="3">
        <f t="shared" si="3"/>
        <v>8666.6666666666661</v>
      </c>
      <c r="L14" s="6">
        <f t="shared" si="4"/>
        <v>59666.666666666664</v>
      </c>
      <c r="M14" s="7">
        <f t="shared" si="5"/>
        <v>4800</v>
      </c>
      <c r="N14" s="8">
        <f t="shared" si="6"/>
        <v>447.49999999999994</v>
      </c>
      <c r="O14" s="6">
        <f t="shared" si="7"/>
        <v>54419.166666666664</v>
      </c>
      <c r="P14" s="2" t="str">
        <f t="shared" si="8"/>
        <v>High Salary</v>
      </c>
    </row>
    <row r="15" spans="1:16" x14ac:dyDescent="0.35">
      <c r="A15" s="1">
        <v>1012</v>
      </c>
      <c r="B15" s="33" t="s">
        <v>32</v>
      </c>
      <c r="C15" s="34" t="s">
        <v>42</v>
      </c>
      <c r="D15" s="2">
        <v>35000</v>
      </c>
      <c r="E15" s="11">
        <v>28</v>
      </c>
      <c r="F15" s="4">
        <f t="shared" si="0"/>
        <v>32666.666666666668</v>
      </c>
      <c r="G15" s="4">
        <f t="shared" si="1"/>
        <v>4200</v>
      </c>
      <c r="H15" s="5">
        <f t="shared" si="2"/>
        <v>2800</v>
      </c>
      <c r="I15" s="5">
        <v>3000</v>
      </c>
      <c r="J15" s="10">
        <v>51</v>
      </c>
      <c r="K15" s="3">
        <f t="shared" si="3"/>
        <v>7437.5000000000009</v>
      </c>
      <c r="L15" s="6">
        <f t="shared" si="4"/>
        <v>50104.166666666672</v>
      </c>
      <c r="M15" s="7">
        <f t="shared" si="5"/>
        <v>4200</v>
      </c>
      <c r="N15" s="8">
        <f t="shared" si="6"/>
        <v>375.78125</v>
      </c>
      <c r="O15" s="6">
        <f t="shared" si="7"/>
        <v>45528.385416666672</v>
      </c>
      <c r="P15" s="2" t="str">
        <f t="shared" si="8"/>
        <v>High Salary</v>
      </c>
    </row>
    <row r="16" spans="1:16" x14ac:dyDescent="0.35">
      <c r="A16" s="1">
        <v>1013</v>
      </c>
      <c r="B16" s="33" t="s">
        <v>33</v>
      </c>
      <c r="C16" s="34" t="s">
        <v>42</v>
      </c>
      <c r="D16" s="2">
        <v>35000</v>
      </c>
      <c r="E16" s="11">
        <v>30</v>
      </c>
      <c r="F16" s="4">
        <f t="shared" si="0"/>
        <v>35000</v>
      </c>
      <c r="G16" s="4">
        <f t="shared" si="1"/>
        <v>4200</v>
      </c>
      <c r="H16" s="5">
        <f t="shared" si="2"/>
        <v>2800</v>
      </c>
      <c r="I16" s="5">
        <v>3000</v>
      </c>
      <c r="J16" s="10">
        <v>67</v>
      </c>
      <c r="K16" s="3">
        <f t="shared" si="3"/>
        <v>9770.8333333333339</v>
      </c>
      <c r="L16" s="6">
        <f t="shared" si="4"/>
        <v>54770.833333333336</v>
      </c>
      <c r="M16" s="7">
        <f t="shared" si="5"/>
        <v>4200</v>
      </c>
      <c r="N16" s="8">
        <f t="shared" si="6"/>
        <v>410.78125</v>
      </c>
      <c r="O16" s="6">
        <f t="shared" si="7"/>
        <v>50160.052083333336</v>
      </c>
      <c r="P16" s="2" t="str">
        <f t="shared" si="8"/>
        <v>High Salary</v>
      </c>
    </row>
    <row r="17" spans="1:16" x14ac:dyDescent="0.35">
      <c r="A17" s="1">
        <v>1014</v>
      </c>
      <c r="B17" s="33" t="s">
        <v>34</v>
      </c>
      <c r="C17" s="34" t="s">
        <v>42</v>
      </c>
      <c r="D17" s="2">
        <v>35000</v>
      </c>
      <c r="E17" s="11">
        <v>24</v>
      </c>
      <c r="F17" s="4">
        <f t="shared" si="0"/>
        <v>28000</v>
      </c>
      <c r="G17" s="4">
        <f t="shared" si="1"/>
        <v>4200</v>
      </c>
      <c r="H17" s="5">
        <f t="shared" si="2"/>
        <v>2800</v>
      </c>
      <c r="I17" s="5">
        <v>3000</v>
      </c>
      <c r="J17" s="10">
        <v>65</v>
      </c>
      <c r="K17" s="3">
        <f t="shared" si="3"/>
        <v>9479.1666666666679</v>
      </c>
      <c r="L17" s="6">
        <f t="shared" si="4"/>
        <v>47479.166666666672</v>
      </c>
      <c r="M17" s="7">
        <f t="shared" si="5"/>
        <v>4200</v>
      </c>
      <c r="N17" s="8">
        <f t="shared" si="6"/>
        <v>356.09375</v>
      </c>
      <c r="O17" s="6">
        <f t="shared" si="7"/>
        <v>42923.072916666672</v>
      </c>
      <c r="P17" s="2" t="str">
        <f t="shared" si="8"/>
        <v>High Salary</v>
      </c>
    </row>
    <row r="18" spans="1:16" x14ac:dyDescent="0.35">
      <c r="A18" s="35"/>
      <c r="B18" s="35"/>
      <c r="C18" s="35"/>
    </row>
    <row r="19" spans="1:16" ht="28" customHeight="1" x14ac:dyDescent="0.35">
      <c r="A19" s="24" t="s">
        <v>45</v>
      </c>
      <c r="B19" s="24"/>
      <c r="C19" s="24"/>
      <c r="E19" s="25" t="s">
        <v>54</v>
      </c>
      <c r="F19" s="25"/>
      <c r="G19" s="25"/>
      <c r="H19" s="25"/>
    </row>
    <row r="20" spans="1:16" x14ac:dyDescent="0.35">
      <c r="A20" s="39" t="s">
        <v>46</v>
      </c>
      <c r="B20" s="39"/>
      <c r="C20" s="36">
        <f>COUNTA(B4:B17)</f>
        <v>14</v>
      </c>
      <c r="E20" s="26" t="s">
        <v>55</v>
      </c>
      <c r="F20" s="26"/>
      <c r="G20" s="27">
        <v>1005</v>
      </c>
      <c r="H20" s="27"/>
    </row>
    <row r="21" spans="1:16" x14ac:dyDescent="0.35">
      <c r="A21" s="39" t="s">
        <v>47</v>
      </c>
      <c r="B21" s="39"/>
      <c r="C21" s="36">
        <f>SUM(D4:D17)</f>
        <v>488000</v>
      </c>
      <c r="E21" s="26" t="s">
        <v>58</v>
      </c>
      <c r="F21" s="26"/>
      <c r="G21" s="27" t="str">
        <f>VLOOKUP(G20,A3:O17,2,FALSE)</f>
        <v>Sharjeel</v>
      </c>
      <c r="H21" s="27"/>
    </row>
    <row r="22" spans="1:16" x14ac:dyDescent="0.35">
      <c r="A22" s="39" t="s">
        <v>48</v>
      </c>
      <c r="B22" s="39"/>
      <c r="C22" s="37">
        <f>SUM(G4:G17,H4:H17,I4:I17)</f>
        <v>139600</v>
      </c>
      <c r="E22" s="26" t="s">
        <v>8</v>
      </c>
      <c r="F22" s="26"/>
      <c r="G22" s="27" t="str">
        <f>VLOOKUP(G20,A3:O17,3,FALSE)</f>
        <v>Sales Staff</v>
      </c>
      <c r="H22" s="27"/>
    </row>
    <row r="23" spans="1:16" x14ac:dyDescent="0.35">
      <c r="A23" s="39" t="s">
        <v>57</v>
      </c>
      <c r="B23" s="39"/>
      <c r="C23" s="37">
        <f>SUM(K4:K17)</f>
        <v>101537.50000000001</v>
      </c>
      <c r="E23" s="26" t="s">
        <v>17</v>
      </c>
      <c r="F23" s="26"/>
      <c r="G23" s="27">
        <f>VLOOKUP(G20,A3:O17,12,FALSE)</f>
        <v>46166.666666666664</v>
      </c>
      <c r="H23" s="27"/>
    </row>
    <row r="24" spans="1:16" x14ac:dyDescent="0.35">
      <c r="A24" s="39" t="s">
        <v>49</v>
      </c>
      <c r="B24" s="39"/>
      <c r="C24" s="37">
        <f>SUM(L4:L17)</f>
        <v>691304.16666666663</v>
      </c>
      <c r="E24" s="26" t="s">
        <v>59</v>
      </c>
      <c r="F24" s="26"/>
      <c r="G24" s="27">
        <f>VLOOKUP(G20,A3:O17,14,FALSE)</f>
        <v>346.24999999999994</v>
      </c>
      <c r="H24" s="27"/>
    </row>
    <row r="25" spans="1:16" x14ac:dyDescent="0.35">
      <c r="A25" s="39" t="s">
        <v>50</v>
      </c>
      <c r="B25" s="39"/>
      <c r="C25" s="37">
        <f>SUM(M4:M17,N4:N17)</f>
        <v>63744.78125</v>
      </c>
      <c r="E25" s="26" t="s">
        <v>60</v>
      </c>
      <c r="F25" s="26"/>
      <c r="G25" s="27">
        <f>VLOOKUP(G20,A3:O17,15,FALSE)</f>
        <v>41380.416666666664</v>
      </c>
      <c r="H25" s="27"/>
    </row>
    <row r="26" spans="1:16" x14ac:dyDescent="0.35">
      <c r="A26" s="39" t="s">
        <v>51</v>
      </c>
      <c r="B26" s="39"/>
      <c r="C26" s="37">
        <f>MAX(O4:O17)</f>
        <v>61076.458333333343</v>
      </c>
    </row>
    <row r="27" spans="1:16" x14ac:dyDescent="0.35">
      <c r="A27" s="39" t="s">
        <v>52</v>
      </c>
      <c r="B27" s="39"/>
      <c r="C27" s="37">
        <f>MIN(O4:O17)</f>
        <v>22553.25</v>
      </c>
    </row>
    <row r="28" spans="1:16" x14ac:dyDescent="0.35">
      <c r="A28" s="39" t="s">
        <v>53</v>
      </c>
      <c r="B28" s="39"/>
      <c r="C28" s="36">
        <f>AVEDEV(O4:O17)</f>
        <v>7200.8623511904752</v>
      </c>
    </row>
    <row r="29" spans="1:16" x14ac:dyDescent="0.35">
      <c r="A29" s="40" t="s">
        <v>66</v>
      </c>
      <c r="B29" s="40"/>
      <c r="C29" s="38">
        <f>COUNTIF(P4:P17,"High Salary")</f>
        <v>11</v>
      </c>
    </row>
    <row r="30" spans="1:16" x14ac:dyDescent="0.35">
      <c r="A30" s="32"/>
      <c r="B30" s="32"/>
    </row>
  </sheetData>
  <autoFilter ref="A3:P3" xr:uid="{CA416250-B317-4394-A682-C70F481668D1}"/>
  <mergeCells count="32">
    <mergeCell ref="A29:B29"/>
    <mergeCell ref="A30:B30"/>
    <mergeCell ref="E24:F24"/>
    <mergeCell ref="E25:F25"/>
    <mergeCell ref="G20:H20"/>
    <mergeCell ref="G21:H21"/>
    <mergeCell ref="G22:H22"/>
    <mergeCell ref="G23:H23"/>
    <mergeCell ref="G24:H24"/>
    <mergeCell ref="G25:H25"/>
    <mergeCell ref="A24:B24"/>
    <mergeCell ref="A25:B25"/>
    <mergeCell ref="A26:B26"/>
    <mergeCell ref="A27:B27"/>
    <mergeCell ref="A28:B28"/>
    <mergeCell ref="E19:H19"/>
    <mergeCell ref="E20:F20"/>
    <mergeCell ref="E21:F21"/>
    <mergeCell ref="E22:F22"/>
    <mergeCell ref="E23:F23"/>
    <mergeCell ref="A19:C19"/>
    <mergeCell ref="A20:B20"/>
    <mergeCell ref="A21:B21"/>
    <mergeCell ref="A22:B22"/>
    <mergeCell ref="A23:B23"/>
    <mergeCell ref="O2:P2"/>
    <mergeCell ref="A1:P1"/>
    <mergeCell ref="A2:C2"/>
    <mergeCell ref="D2:F2"/>
    <mergeCell ref="G2:I2"/>
    <mergeCell ref="J2:K2"/>
    <mergeCell ref="M2:N2"/>
  </mergeCells>
  <conditionalFormatting sqref="C26">
    <cfRule type="containsText" dxfId="11" priority="6" operator="containsText" text="6">
      <formula>NOT(ISERROR(SEARCH("6",C26)))</formula>
    </cfRule>
  </conditionalFormatting>
  <conditionalFormatting sqref="C27">
    <cfRule type="containsText" dxfId="10" priority="4" operator="containsText" text="2">
      <formula>NOT(ISERROR(SEARCH("2",C27)))</formula>
    </cfRule>
    <cfRule type="cellIs" dxfId="9" priority="5" operator="equal">
      <formula>22553</formula>
    </cfRule>
  </conditionalFormatting>
  <conditionalFormatting sqref="C28">
    <cfRule type="containsText" dxfId="8" priority="3" operator="containsText" text="7">
      <formula>NOT(ISERROR(SEARCH("7",C28)))</formula>
    </cfRule>
  </conditionalFormatting>
  <conditionalFormatting sqref="P4:P17">
    <cfRule type="containsText" dxfId="7" priority="7" operator="containsText" text="h">
      <formula>NOT(ISERROR(SEARCH("h",P4)))</formula>
    </cfRule>
    <cfRule type="containsText" dxfId="6" priority="8" operator="containsText" text="low">
      <formula>NOT(ISERROR(SEARCH("low",P4)))</formula>
    </cfRule>
    <cfRule type="iconSet" priority="2">
      <iconSet iconSet="3Signs">
        <cfvo type="percent" val="0"/>
        <cfvo type="percent" val="33"/>
        <cfvo type="percent" val="67"/>
      </iconSet>
    </cfRule>
  </conditionalFormatting>
  <dataValidations count="1">
    <dataValidation type="whole" operator="equal" allowBlank="1" showInputMessage="1" showErrorMessage="1" errorTitle="ID ERROR" error="Please enter the correct ID" sqref="A4:A17" xr:uid="{7EA23AF3-4E63-4A89-B715-DA02C0C82C2A}">
      <formula1>(A4:A17)</formula1>
    </dataValidation>
  </dataValidations>
  <pageMargins left="0.7" right="0.7" top="0.75" bottom="0.75" header="0.3" footer="0.3"/>
  <drawing r:id="rId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iconSet" priority="1" id="{5EEFA532-D324-4120-A89C-715EDC7B947B}">
            <x14:iconSet iconSet="3Stars">
              <x14:cfvo type="percent">
                <xm:f>0</xm:f>
              </x14:cfvo>
              <x14:cfvo type="percent">
                <xm:f>33</xm:f>
              </x14:cfvo>
              <x14:cfvo type="percent">
                <xm:f>67</xm:f>
              </x14:cfvo>
            </x14:iconSet>
          </x14:cfRule>
          <xm:sqref>G20:H25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E74733-FE30-4DD0-89D3-8CEB707C9D97}">
  <dimension ref="A1:C50"/>
  <sheetViews>
    <sheetView zoomScale="74" workbookViewId="0">
      <selection activeCell="P17" sqref="P17"/>
    </sheetView>
  </sheetViews>
  <sheetFormatPr defaultRowHeight="14.5" x14ac:dyDescent="0.35"/>
  <cols>
    <col min="1" max="1" width="16.7265625" bestFit="1" customWidth="1"/>
    <col min="2" max="2" width="16.81640625" bestFit="1" customWidth="1"/>
    <col min="3" max="3" width="19.26953125" bestFit="1" customWidth="1"/>
    <col min="4" max="4" width="11.7265625" bestFit="1" customWidth="1"/>
    <col min="5" max="5" width="8.26953125" bestFit="1" customWidth="1"/>
    <col min="6" max="6" width="12.08984375" bestFit="1" customWidth="1"/>
    <col min="7" max="7" width="11.1796875" bestFit="1" customWidth="1"/>
    <col min="8" max="8" width="9.36328125" bestFit="1" customWidth="1"/>
    <col min="9" max="9" width="4.7265625" bestFit="1" customWidth="1"/>
    <col min="10" max="10" width="9.6328125" bestFit="1" customWidth="1"/>
    <col min="11" max="11" width="10.7265625" bestFit="1" customWidth="1"/>
    <col min="12" max="15" width="4.81640625" bestFit="1" customWidth="1"/>
    <col min="16" max="16" width="10.7265625" bestFit="1" customWidth="1"/>
  </cols>
  <sheetData>
    <row r="1" spans="1:3" x14ac:dyDescent="0.35">
      <c r="A1" s="21" t="s">
        <v>16</v>
      </c>
      <c r="B1" s="21" t="s">
        <v>65</v>
      </c>
    </row>
    <row r="2" spans="1:3" x14ac:dyDescent="0.35">
      <c r="A2" s="21" t="s">
        <v>18</v>
      </c>
      <c r="B2" s="21" t="s">
        <v>65</v>
      </c>
    </row>
    <row r="3" spans="1:3" x14ac:dyDescent="0.35">
      <c r="A3" s="21" t="s">
        <v>17</v>
      </c>
      <c r="B3" s="21" t="s">
        <v>65</v>
      </c>
    </row>
    <row r="4" spans="1:3" x14ac:dyDescent="0.35">
      <c r="A4" s="21" t="s">
        <v>12</v>
      </c>
      <c r="B4" s="21" t="s">
        <v>65</v>
      </c>
    </row>
    <row r="5" spans="1:3" x14ac:dyDescent="0.35">
      <c r="A5" s="21" t="s">
        <v>13</v>
      </c>
      <c r="B5" s="21" t="s">
        <v>65</v>
      </c>
    </row>
    <row r="7" spans="1:3" x14ac:dyDescent="0.35">
      <c r="A7" s="14" t="s">
        <v>61</v>
      </c>
      <c r="B7" s="14" t="s">
        <v>63</v>
      </c>
      <c r="C7" s="14" t="s">
        <v>64</v>
      </c>
    </row>
    <row r="8" spans="1:3" x14ac:dyDescent="0.35">
      <c r="A8" s="15" t="s">
        <v>21</v>
      </c>
      <c r="B8" s="21">
        <v>50000</v>
      </c>
      <c r="C8" s="31">
        <v>61076.458333333343</v>
      </c>
    </row>
    <row r="9" spans="1:3" x14ac:dyDescent="0.35">
      <c r="A9" s="16" t="s">
        <v>35</v>
      </c>
      <c r="B9" s="21">
        <v>50000</v>
      </c>
      <c r="C9" s="31">
        <v>61076.458333333343</v>
      </c>
    </row>
    <row r="10" spans="1:3" x14ac:dyDescent="0.35">
      <c r="A10" s="17">
        <v>1001</v>
      </c>
      <c r="B10" s="21">
        <v>50000</v>
      </c>
      <c r="C10" s="31">
        <v>61076.458333333343</v>
      </c>
    </row>
    <row r="11" spans="1:3" x14ac:dyDescent="0.35">
      <c r="A11" s="15" t="s">
        <v>31</v>
      </c>
      <c r="B11" s="21">
        <v>40000</v>
      </c>
      <c r="C11" s="31">
        <v>54419.166666666664</v>
      </c>
    </row>
    <row r="12" spans="1:3" x14ac:dyDescent="0.35">
      <c r="A12" s="16" t="s">
        <v>43</v>
      </c>
      <c r="B12" s="21">
        <v>40000</v>
      </c>
      <c r="C12" s="31">
        <v>54419.166666666664</v>
      </c>
    </row>
    <row r="13" spans="1:3" x14ac:dyDescent="0.35">
      <c r="A13" s="17">
        <v>1011</v>
      </c>
      <c r="B13" s="21">
        <v>40000</v>
      </c>
      <c r="C13" s="31">
        <v>54419.166666666664</v>
      </c>
    </row>
    <row r="14" spans="1:3" x14ac:dyDescent="0.35">
      <c r="A14" s="15" t="s">
        <v>27</v>
      </c>
      <c r="B14" s="21">
        <v>26000</v>
      </c>
      <c r="C14" s="31">
        <v>35231.854166666664</v>
      </c>
    </row>
    <row r="15" spans="1:3" x14ac:dyDescent="0.35">
      <c r="A15" s="16" t="s">
        <v>41</v>
      </c>
      <c r="B15" s="21">
        <v>26000</v>
      </c>
      <c r="C15" s="31">
        <v>35231.854166666664</v>
      </c>
    </row>
    <row r="16" spans="1:3" x14ac:dyDescent="0.35">
      <c r="A16" s="17">
        <v>1007</v>
      </c>
      <c r="B16" s="21">
        <v>26000</v>
      </c>
      <c r="C16" s="31">
        <v>35231.854166666664</v>
      </c>
    </row>
    <row r="17" spans="1:3" x14ac:dyDescent="0.35">
      <c r="A17" s="15" t="s">
        <v>34</v>
      </c>
      <c r="B17" s="21">
        <v>35000</v>
      </c>
      <c r="C17" s="31">
        <v>42923.072916666672</v>
      </c>
    </row>
    <row r="18" spans="1:3" x14ac:dyDescent="0.35">
      <c r="A18" s="16" t="s">
        <v>42</v>
      </c>
      <c r="B18" s="21">
        <v>35000</v>
      </c>
      <c r="C18" s="31">
        <v>42923.072916666672</v>
      </c>
    </row>
    <row r="19" spans="1:3" x14ac:dyDescent="0.35">
      <c r="A19" s="17">
        <v>1014</v>
      </c>
      <c r="B19" s="21">
        <v>35000</v>
      </c>
      <c r="C19" s="31">
        <v>42923.072916666672</v>
      </c>
    </row>
    <row r="20" spans="1:3" x14ac:dyDescent="0.35">
      <c r="A20" s="15" t="s">
        <v>29</v>
      </c>
      <c r="B20" s="21">
        <v>35000</v>
      </c>
      <c r="C20" s="31">
        <v>45817.864583333336</v>
      </c>
    </row>
    <row r="21" spans="1:3" x14ac:dyDescent="0.35">
      <c r="A21" s="16" t="s">
        <v>42</v>
      </c>
      <c r="B21" s="21">
        <v>35000</v>
      </c>
      <c r="C21" s="31">
        <v>45817.864583333336</v>
      </c>
    </row>
    <row r="22" spans="1:3" x14ac:dyDescent="0.35">
      <c r="A22" s="17">
        <v>1009</v>
      </c>
      <c r="B22" s="21">
        <v>35000</v>
      </c>
      <c r="C22" s="31">
        <v>45817.864583333336</v>
      </c>
    </row>
    <row r="23" spans="1:3" x14ac:dyDescent="0.35">
      <c r="A23" s="15" t="s">
        <v>22</v>
      </c>
      <c r="B23" s="21">
        <v>40000</v>
      </c>
      <c r="C23" s="31">
        <v>50614.583333333328</v>
      </c>
    </row>
    <row r="24" spans="1:3" x14ac:dyDescent="0.35">
      <c r="A24" s="16" t="s">
        <v>36</v>
      </c>
      <c r="B24" s="21">
        <v>40000</v>
      </c>
      <c r="C24" s="31">
        <v>50614.583333333328</v>
      </c>
    </row>
    <row r="25" spans="1:3" x14ac:dyDescent="0.35">
      <c r="A25" s="17">
        <v>1002</v>
      </c>
      <c r="B25" s="21">
        <v>40000</v>
      </c>
      <c r="C25" s="31">
        <v>50614.583333333328</v>
      </c>
    </row>
    <row r="26" spans="1:3" x14ac:dyDescent="0.35">
      <c r="A26" s="15" t="s">
        <v>23</v>
      </c>
      <c r="B26" s="21">
        <v>32000</v>
      </c>
      <c r="C26" s="31">
        <v>42013.5</v>
      </c>
    </row>
    <row r="27" spans="1:3" x14ac:dyDescent="0.35">
      <c r="A27" s="16" t="s">
        <v>37</v>
      </c>
      <c r="B27" s="21">
        <v>32000</v>
      </c>
      <c r="C27" s="31">
        <v>42013.5</v>
      </c>
    </row>
    <row r="28" spans="1:3" x14ac:dyDescent="0.35">
      <c r="A28" s="17">
        <v>1003</v>
      </c>
      <c r="B28" s="21">
        <v>32000</v>
      </c>
      <c r="C28" s="31">
        <v>42013.5</v>
      </c>
    </row>
    <row r="29" spans="1:3" x14ac:dyDescent="0.35">
      <c r="A29" s="15" t="s">
        <v>28</v>
      </c>
      <c r="B29" s="21">
        <v>18000</v>
      </c>
      <c r="C29" s="31">
        <v>22553.25</v>
      </c>
    </row>
    <row r="30" spans="1:3" x14ac:dyDescent="0.35">
      <c r="A30" s="16" t="s">
        <v>40</v>
      </c>
      <c r="B30" s="21">
        <v>18000</v>
      </c>
      <c r="C30" s="31">
        <v>22553.25</v>
      </c>
    </row>
    <row r="31" spans="1:3" x14ac:dyDescent="0.35">
      <c r="A31" s="17">
        <v>1008</v>
      </c>
      <c r="B31" s="21">
        <v>18000</v>
      </c>
      <c r="C31" s="31">
        <v>22553.25</v>
      </c>
    </row>
    <row r="32" spans="1:3" x14ac:dyDescent="0.35">
      <c r="A32" s="15" t="s">
        <v>32</v>
      </c>
      <c r="B32" s="21">
        <v>35000</v>
      </c>
      <c r="C32" s="31">
        <v>45528.385416666672</v>
      </c>
    </row>
    <row r="33" spans="1:3" x14ac:dyDescent="0.35">
      <c r="A33" s="16" t="s">
        <v>42</v>
      </c>
      <c r="B33" s="21">
        <v>35000</v>
      </c>
      <c r="C33" s="31">
        <v>45528.385416666672</v>
      </c>
    </row>
    <row r="34" spans="1:3" x14ac:dyDescent="0.35">
      <c r="A34" s="17">
        <v>1012</v>
      </c>
      <c r="B34" s="21">
        <v>35000</v>
      </c>
      <c r="C34" s="31">
        <v>45528.385416666672</v>
      </c>
    </row>
    <row r="35" spans="1:3" x14ac:dyDescent="0.35">
      <c r="A35" s="15" t="s">
        <v>30</v>
      </c>
      <c r="B35" s="21">
        <v>30000</v>
      </c>
      <c r="C35" s="31">
        <v>41434.6875</v>
      </c>
    </row>
    <row r="36" spans="1:3" x14ac:dyDescent="0.35">
      <c r="A36" s="16" t="s">
        <v>40</v>
      </c>
      <c r="B36" s="21">
        <v>30000</v>
      </c>
      <c r="C36" s="31">
        <v>41434.6875</v>
      </c>
    </row>
    <row r="37" spans="1:3" x14ac:dyDescent="0.35">
      <c r="A37" s="17">
        <v>1010</v>
      </c>
      <c r="B37" s="21">
        <v>30000</v>
      </c>
      <c r="C37" s="31">
        <v>41434.6875</v>
      </c>
    </row>
    <row r="38" spans="1:3" x14ac:dyDescent="0.35">
      <c r="A38" s="15" t="s">
        <v>33</v>
      </c>
      <c r="B38" s="21">
        <v>35000</v>
      </c>
      <c r="C38" s="31">
        <v>50160.052083333336</v>
      </c>
    </row>
    <row r="39" spans="1:3" x14ac:dyDescent="0.35">
      <c r="A39" s="16" t="s">
        <v>42</v>
      </c>
      <c r="B39" s="21">
        <v>35000</v>
      </c>
      <c r="C39" s="31">
        <v>50160.052083333336</v>
      </c>
    </row>
    <row r="40" spans="1:3" x14ac:dyDescent="0.35">
      <c r="A40" s="17">
        <v>1013</v>
      </c>
      <c r="B40" s="21">
        <v>35000</v>
      </c>
      <c r="C40" s="31">
        <v>50160.052083333336</v>
      </c>
    </row>
    <row r="41" spans="1:3" x14ac:dyDescent="0.35">
      <c r="A41" s="15" t="s">
        <v>26</v>
      </c>
      <c r="B41" s="21">
        <v>30000</v>
      </c>
      <c r="C41" s="31">
        <v>37836.875</v>
      </c>
    </row>
    <row r="42" spans="1:3" x14ac:dyDescent="0.35">
      <c r="A42" s="16" t="s">
        <v>40</v>
      </c>
      <c r="B42" s="21">
        <v>30000</v>
      </c>
      <c r="C42" s="31">
        <v>37836.875</v>
      </c>
    </row>
    <row r="43" spans="1:3" x14ac:dyDescent="0.35">
      <c r="A43" s="17">
        <v>1006</v>
      </c>
      <c r="B43" s="21">
        <v>30000</v>
      </c>
      <c r="C43" s="31">
        <v>37836.875</v>
      </c>
    </row>
    <row r="44" spans="1:3" x14ac:dyDescent="0.35">
      <c r="A44" s="15" t="s">
        <v>25</v>
      </c>
      <c r="B44" s="21">
        <v>37000</v>
      </c>
      <c r="C44" s="31">
        <v>41380.416666666664</v>
      </c>
    </row>
    <row r="45" spans="1:3" x14ac:dyDescent="0.35">
      <c r="A45" s="16" t="s">
        <v>39</v>
      </c>
      <c r="B45" s="21">
        <v>37000</v>
      </c>
      <c r="C45" s="31">
        <v>41380.416666666664</v>
      </c>
    </row>
    <row r="46" spans="1:3" x14ac:dyDescent="0.35">
      <c r="A46" s="17">
        <v>1005</v>
      </c>
      <c r="B46" s="21">
        <v>37000</v>
      </c>
      <c r="C46" s="31">
        <v>41380.416666666664</v>
      </c>
    </row>
    <row r="47" spans="1:3" x14ac:dyDescent="0.35">
      <c r="A47" s="15" t="s">
        <v>24</v>
      </c>
      <c r="B47" s="21">
        <v>45000</v>
      </c>
      <c r="C47" s="31">
        <v>56569.21875</v>
      </c>
    </row>
    <row r="48" spans="1:3" x14ac:dyDescent="0.35">
      <c r="A48" s="16" t="s">
        <v>38</v>
      </c>
      <c r="B48" s="21">
        <v>45000</v>
      </c>
      <c r="C48" s="31">
        <v>56569.21875</v>
      </c>
    </row>
    <row r="49" spans="1:3" x14ac:dyDescent="0.35">
      <c r="A49" s="17">
        <v>1004</v>
      </c>
      <c r="B49" s="21">
        <v>45000</v>
      </c>
      <c r="C49" s="31">
        <v>56569.21875</v>
      </c>
    </row>
    <row r="50" spans="1:3" x14ac:dyDescent="0.35">
      <c r="A50" s="18" t="s">
        <v>62</v>
      </c>
      <c r="B50" s="19">
        <v>488000</v>
      </c>
      <c r="C50" s="20">
        <v>627559.38541666663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HASNI</dc:creator>
  <cp:lastModifiedBy>HASNI</cp:lastModifiedBy>
  <dcterms:created xsi:type="dcterms:W3CDTF">2026-01-30T16:44:57Z</dcterms:created>
  <dcterms:modified xsi:type="dcterms:W3CDTF">2026-01-31T11:50:47Z</dcterms:modified>
</cp:coreProperties>
</file>